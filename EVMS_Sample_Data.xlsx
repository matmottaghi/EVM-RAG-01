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9bc7f7fa0c47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MS_Data" sheetId="1" r:id="Rc328fbe7d88142be"/>
    <x:sheet xmlns:r="http://schemas.openxmlformats.org/officeDocument/2006/relationships" name="EVMS_Glossary" sheetId="2" r:id="Rf9ea4ae2928b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.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cc3f609fd43b9" /><Relationship Type="http://schemas.openxmlformats.org/officeDocument/2006/relationships/theme" Target="/xl/theme/theme1.xml" Id="R7db90501f1234dfa" /><Relationship Type="http://schemas.openxmlformats.org/officeDocument/2006/relationships/sharedStrings" Target="/xl/sharedStrings.xml" Id="Rc1631713c0a04b6f" /><Relationship Type="http://schemas.openxmlformats.org/officeDocument/2006/relationships/worksheet" Target="/xl/worksheets/sheet1.xml" Id="Rc328fbe7d88142be" /><Relationship Type="http://schemas.openxmlformats.org/officeDocument/2006/relationships/worksheet" Target="/xl/worksheets/sheet2.xml" Id="Rf9ea4ae2928b4865" /></Relationships>
</file>

<file path=xl/tables/table1.xml><?xml version="1.0" encoding="utf-8"?>
<x:table xmlns:x="http://schemas.openxmlformats.org/spreadsheetml/2006/main" id="1" name="EVMSData" displayName="EVMSData" ref="A1:N91" headerRowCount="1" totalsRowCount="0" totalsRowShown="0">
  <x:tableColumns count="14">
    <x:tableColumn id="1" name="ProjectCode"/>
    <x:tableColumn id="2" name="ProjectName"/>
    <x:tableColumn id="3" name="DataDate"/>
    <x:tableColumn id="4" name="PV"/>
    <x:tableColumn id="5" name="EV"/>
    <x:tableColumn id="6" name="AC"/>
    <x:tableColumn id="7" name="BAC"/>
    <x:tableColumn id="8" name="CV"/>
    <x:tableColumn id="9" name="SV"/>
    <x:tableColumn id="10" name="CPI"/>
    <x:tableColumn id="11" name="SPI"/>
    <x:tableColumn id="12" name="EAC"/>
    <x:tableColumn id="13" name="ETC"/>
    <x:tableColumn id="14" name="VA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MSGlossary" displayName="EVMSGlossary" ref="A1:B12" headerRowCount="1" totalsRowCount="0" totalsRowShown="0">
  <x:tableColumns count="2">
    <x:tableColumn id="1" name="Metric"/>
    <x:tableColumn id="2" name="Defin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417af08f4f540c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02674348d88a4ee9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13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0" hidden="0" customWidth="1"/>
    <x:col min="11" max="11" width="10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>
      <x:c r="A1" s="5" t="str">
        <x:v>ProjectCode</x:v>
      </x:c>
      <x:c r="B1" s="5" t="str">
        <x:v>ProjectName</x:v>
      </x:c>
      <x:c r="C1" s="5" t="str">
        <x:v>DataDate</x:v>
      </x:c>
      <x:c r="D1" s="5" t="str">
        <x:v>PV</x:v>
      </x:c>
      <x:c r="E1" s="5" t="str">
        <x:v>EV</x:v>
      </x:c>
      <x:c r="F1" s="5" t="str">
        <x:v>AC</x:v>
      </x:c>
      <x:c r="G1" s="5" t="str">
        <x:v>BAC</x:v>
      </x:c>
      <x:c r="H1" s="5" t="str">
        <x:v>CV</x:v>
      </x:c>
      <x:c r="I1" s="5" t="str">
        <x:v>SV</x:v>
      </x:c>
      <x:c r="J1" s="5" t="str">
        <x:v>CPI</x:v>
      </x:c>
      <x:c r="K1" s="5" t="str">
        <x:v>SPI</x:v>
      </x:c>
      <x:c r="L1" s="5" t="str">
        <x:v>EAC</x:v>
      </x:c>
      <x:c r="M1" s="5" t="str">
        <x:v>ETC</x:v>
      </x:c>
      <x:c r="N1" s="5" t="str">
        <x:v>VAC</x:v>
      </x:c>
    </x:row>
    <x:row r="2">
      <x:c r="A2" t="str">
        <x:v>PRJ-001</x:v>
      </x:c>
      <x:c r="B2" t="str">
        <x:v>Alpha EPC Project</x:v>
      </x:c>
      <x:c r="C2" s="10" t="n">
        <x:v>45658</x:v>
      </x:c>
      <x:c r="D2" s="12" t="n">
        <x:v>6666666.67</x:v>
      </x:c>
      <x:c r="E2" s="12" t="n">
        <x:v>5921691.82</x:v>
      </x:c>
      <x:c r="F2" s="12" t="n">
        <x:v>5981764.44</x:v>
      </x:c>
      <x:c r="G2" s="12" t="n">
        <x:v>120000000</x:v>
      </x:c>
      <x:c r="H2" s="12" t="n">
        <x:f>E2-F2</x:f>
        <x:v>-60072.62000000011</x:v>
      </x:c>
      <x:c r="I2" s="12" t="n">
        <x:f>E2-D2</x:f>
        <x:v>-744974.8499999996</x:v>
      </x:c>
      <x:c r="J2" s="14" t="n">
        <x:f>IFERROR(E2/F2,0)</x:f>
        <x:v>0.9899573745167404</x:v>
      </x:c>
      <x:c r="K2" s="14" t="n">
        <x:f>IFERROR(E2/D2,0)</x:f>
        <x:v>0.8882537725558731</x:v>
      </x:c>
      <x:c r="L2" s="12" t="n">
        <x:v>121217340.41</x:v>
      </x:c>
      <x:c r="M2" s="12" t="n">
        <x:v>115235575.97</x:v>
      </x:c>
      <x:c r="N2" s="12" t="n">
        <x:f>G2-L2</x:f>
        <x:v>-1217340.4099999964</x:v>
      </x:c>
    </x:row>
    <x:row r="3">
      <x:c r="A3" t="str">
        <x:v>PRJ-001</x:v>
      </x:c>
      <x:c r="B3" t="str">
        <x:v>Alpha EPC Project</x:v>
      </x:c>
      <x:c r="C3" s="10" t="n">
        <x:v>45689</x:v>
      </x:c>
      <x:c r="D3" s="12" t="n">
        <x:v>13333333.33</x:v>
      </x:c>
      <x:c r="E3" s="12" t="n">
        <x:v>12274062.74</x:v>
      </x:c>
      <x:c r="F3" s="12" t="n">
        <x:v>12788207.47</x:v>
      </x:c>
      <x:c r="G3" s="12" t="n">
        <x:v>120000000</x:v>
      </x:c>
      <x:c r="H3" s="12" t="n">
        <x:f>E3-F3</x:f>
        <x:v>-514144.73000000045</x:v>
      </x:c>
      <x:c r="I3" s="12" t="n">
        <x:f>E3-D3</x:f>
        <x:v>-1059270.5899999999</x:v>
      </x:c>
      <x:c r="J3" s="14" t="n">
        <x:f>IFERROR(E3/F3,0)</x:f>
        <x:v>0.9597954028188752</x:v>
      </x:c>
      <x:c r="K3" s="14" t="n">
        <x:f>IFERROR(E3/D3,0)</x:f>
        <x:v>0.9205547057301386</x:v>
      </x:c>
      <x:c r="L3" s="12" t="n">
        <x:v>125026645.91</x:v>
      </x:c>
      <x:c r="M3" s="12" t="n">
        <x:v>112238438.44</x:v>
      </x:c>
      <x:c r="N3" s="12" t="n">
        <x:f>G3-L3</x:f>
        <x:v>-5026645.909999996</x:v>
      </x:c>
    </x:row>
    <x:row r="4">
      <x:c r="A4" t="str">
        <x:v>PRJ-001</x:v>
      </x:c>
      <x:c r="B4" t="str">
        <x:v>Alpha EPC Project</x:v>
      </x:c>
      <x:c r="C4" s="10" t="n">
        <x:v>45717</x:v>
      </x:c>
      <x:c r="D4" s="12" t="n">
        <x:v>20000000</x:v>
      </x:c>
      <x:c r="E4" s="12" t="n">
        <x:v>18629085.81</x:v>
      </x:c>
      <x:c r="F4" s="12" t="n">
        <x:v>18640365.17</x:v>
      </x:c>
      <x:c r="G4" s="12" t="n">
        <x:v>120000000</x:v>
      </x:c>
      <x:c r="H4" s="12" t="n">
        <x:f>E4-F4</x:f>
        <x:v>-11279.36000000313</x:v>
      </x:c>
      <x:c r="I4" s="12" t="n">
        <x:f>E4-D4</x:f>
        <x:v>-1370914.1900000013</x:v>
      </x:c>
      <x:c r="J4" s="14" t="n">
        <x:f>IFERROR(E4/F4,0)</x:f>
        <x:v>0.9993948959745619</x:v>
      </x:c>
      <x:c r="K4" s="14" t="n">
        <x:f>IFERROR(E4/D4,0)</x:f>
        <x:v>0.9314542905</x:v>
      </x:c>
      <x:c r="L4" s="12" t="n">
        <x:v>120072656.41</x:v>
      </x:c>
      <x:c r="M4" s="12" t="n">
        <x:v>101432291.24</x:v>
      </x:c>
      <x:c r="N4" s="12" t="n">
        <x:f>G4-L4</x:f>
        <x:v>-72656.40999999642</x:v>
      </x:c>
    </x:row>
    <x:row r="5">
      <x:c r="A5" t="str">
        <x:v>PRJ-001</x:v>
      </x:c>
      <x:c r="B5" t="str">
        <x:v>Alpha EPC Project</x:v>
      </x:c>
      <x:c r="C5" s="10" t="n">
        <x:v>45748</x:v>
      </x:c>
      <x:c r="D5" s="12" t="n">
        <x:v>26666666.67</x:v>
      </x:c>
      <x:c r="E5" s="12" t="n">
        <x:v>23960966.62</x:v>
      </x:c>
      <x:c r="F5" s="12" t="n">
        <x:v>23879632.49</x:v>
      </x:c>
      <x:c r="G5" s="12" t="n">
        <x:v>120000000</x:v>
      </x:c>
      <x:c r="H5" s="12" t="n">
        <x:f>E5-F5</x:f>
        <x:v>81334.13000000268</x:v>
      </x:c>
      <x:c r="I5" s="12" t="n">
        <x:f>E5-D5</x:f>
        <x:v>-2705700.0500000007</x:v>
      </x:c>
      <x:c r="J5" s="14" t="n">
        <x:f>IFERROR(E5/F5,0)</x:f>
        <x:v>1.0034060042604953</x:v>
      </x:c>
      <x:c r="K5" s="14" t="n">
        <x:f>IFERROR(E5/D5,0)</x:f>
        <x:v>0.898536248137683</x:v>
      </x:c>
      <x:c r="L5" s="12" t="n">
        <x:v>119592666.86</x:v>
      </x:c>
      <x:c r="M5" s="12" t="n">
        <x:v>95713034.37</x:v>
      </x:c>
      <x:c r="N5" s="12" t="n">
        <x:f>G5-L5</x:f>
        <x:v>407333.1400000006</x:v>
      </x:c>
    </x:row>
    <x:row r="6">
      <x:c r="A6" t="str">
        <x:v>PRJ-001</x:v>
      </x:c>
      <x:c r="B6" t="str">
        <x:v>Alpha EPC Project</x:v>
      </x:c>
      <x:c r="C6" s="10" t="n">
        <x:v>45778</x:v>
      </x:c>
      <x:c r="D6" s="12" t="n">
        <x:v>33333333.33</x:v>
      </x:c>
      <x:c r="E6" s="12" t="n">
        <x:v>29476879.3</x:v>
      </x:c>
      <x:c r="F6" s="12" t="n">
        <x:v>30358079.47</x:v>
      </x:c>
      <x:c r="G6" s="12" t="n">
        <x:v>120000000</x:v>
      </x:c>
      <x:c r="H6" s="12" t="n">
        <x:f>E6-F6</x:f>
        <x:v>-881200.1699999981</x:v>
      </x:c>
      <x:c r="I6" s="12" t="n">
        <x:f>E6-D6</x:f>
        <x:v>-3856454.0299999975</x:v>
      </x:c>
      <x:c r="J6" s="14" t="n">
        <x:f>IFERROR(E6/F6,0)</x:f>
        <x:v>0.9709731252640403</x:v>
      </x:c>
      <x:c r="K6" s="14" t="n">
        <x:f>IFERROR(E6/D6,0)</x:f>
        <x:v>0.8843063790884307</x:v>
      </x:c>
      <x:c r="L6" s="12" t="n">
        <x:v>123587354.63</x:v>
      </x:c>
      <x:c r="M6" s="12" t="n">
        <x:v>93229275.17</x:v>
      </x:c>
      <x:c r="N6" s="12" t="n">
        <x:f>G6-L6</x:f>
        <x:v>-3587354.629999995</x:v>
      </x:c>
    </x:row>
    <x:row r="7">
      <x:c r="A7" t="str">
        <x:v>PRJ-001</x:v>
      </x:c>
      <x:c r="B7" t="str">
        <x:v>Alpha EPC Project</x:v>
      </x:c>
      <x:c r="C7" s="10" t="n">
        <x:v>45809</x:v>
      </x:c>
      <x:c r="D7" s="12" t="n">
        <x:v>40000000</x:v>
      </x:c>
      <x:c r="E7" s="12" t="n">
        <x:v>34834369.55</x:v>
      </x:c>
      <x:c r="F7" s="12" t="n">
        <x:v>35128315.45</x:v>
      </x:c>
      <x:c r="G7" s="12" t="n">
        <x:v>120000000</x:v>
      </x:c>
      <x:c r="H7" s="12" t="n">
        <x:f>E7-F7</x:f>
        <x:v>-293945.90000000596</x:v>
      </x:c>
      <x:c r="I7" s="12" t="n">
        <x:f>E7-D7</x:f>
        <x:v>-5165630.450000003</x:v>
      </x:c>
      <x:c r="J7" s="14" t="n">
        <x:f>IFERROR(E7/F7,0)</x:f>
        <x:v>0.9916322232866989</x:v>
      </x:c>
      <x:c r="K7" s="14" t="n">
        <x:f>IFERROR(E7/D7,0)</x:f>
        <x:v>0.8708592387499999</x:v>
      </x:c>
      <x:c r="L7" s="12" t="n">
        <x:v>121012606.48</x:v>
      </x:c>
      <x:c r="M7" s="12" t="n">
        <x:v>85884291.03</x:v>
      </x:c>
      <x:c r="N7" s="12" t="n">
        <x:f>G7-L7</x:f>
        <x:v>-1012606.4800000042</x:v>
      </x:c>
    </x:row>
    <x:row r="8">
      <x:c r="A8" t="str">
        <x:v>PRJ-001</x:v>
      </x:c>
      <x:c r="B8" t="str">
        <x:v>Alpha EPC Project</x:v>
      </x:c>
      <x:c r="C8" s="10" t="n">
        <x:v>45839</x:v>
      </x:c>
      <x:c r="D8" s="12" t="n">
        <x:v>46666666.67</x:v>
      </x:c>
      <x:c r="E8" s="12" t="n">
        <x:v>42676369.47</x:v>
      </x:c>
      <x:c r="F8" s="12" t="n">
        <x:v>44070421.05</x:v>
      </x:c>
      <x:c r="G8" s="12" t="n">
        <x:v>120000000</x:v>
      </x:c>
      <x:c r="H8" s="12" t="n">
        <x:f>E8-F8</x:f>
        <x:v>-1394051.5799999982</x:v>
      </x:c>
      <x:c r="I8" s="12" t="n">
        <x:f>E8-D8</x:f>
        <x:v>-3990297.200000003</x:v>
      </x:c>
      <x:c r="J8" s="14" t="n">
        <x:f>IFERROR(E8/F8,0)</x:f>
        <x:v>0.9683676364603283</x:v>
      </x:c>
      <x:c r="K8" s="14" t="n">
        <x:f>IFERROR(E8/D8,0)</x:f>
        <x:v>0.914493631434679</x:v>
      </x:c>
      <x:c r="L8" s="12" t="n">
        <x:v>123919878.65</x:v>
      </x:c>
      <x:c r="M8" s="12" t="n">
        <x:v>79849457.6</x:v>
      </x:c>
      <x:c r="N8" s="12" t="n">
        <x:f>G8-L8</x:f>
        <x:v>-3919878.650000006</x:v>
      </x:c>
    </x:row>
    <x:row r="9">
      <x:c r="A9" t="str">
        <x:v>PRJ-001</x:v>
      </x:c>
      <x:c r="B9" t="str">
        <x:v>Alpha EPC Project</x:v>
      </x:c>
      <x:c r="C9" s="10" t="n">
        <x:v>45870</x:v>
      </x:c>
      <x:c r="D9" s="12" t="n">
        <x:v>53333333.33</x:v>
      </x:c>
      <x:c r="E9" s="12" t="n">
        <x:v>47169736.77</x:v>
      </x:c>
      <x:c r="F9" s="12" t="n">
        <x:v>48856920.4</x:v>
      </x:c>
      <x:c r="G9" s="12" t="n">
        <x:v>120000000</x:v>
      </x:c>
      <x:c r="H9" s="12" t="n">
        <x:f>E9-F9</x:f>
        <x:v>-1687183.6299999952</x:v>
      </x:c>
      <x:c r="I9" s="12" t="n">
        <x:f>E9-D9</x:f>
        <x:v>-6163596.559999995</x:v>
      </x:c>
      <x:c r="J9" s="14" t="n">
        <x:f>IFERROR(E9/F9,0)</x:f>
        <x:v>0.9654668444882172</x:v>
      </x:c>
      <x:c r="K9" s="14" t="n">
        <x:f>IFERROR(E9/D9,0)</x:f>
        <x:v>0.8844325644927771</x:v>
      </x:c>
      <x:c r="L9" s="12" t="n">
        <x:v>124292201.96</x:v>
      </x:c>
      <x:c r="M9" s="12" t="n">
        <x:v>75435281.55</x:v>
      </x:c>
      <x:c r="N9" s="12" t="n">
        <x:f>G9-L9</x:f>
        <x:v>-4292201.959999993</x:v>
      </x:c>
    </x:row>
    <x:row r="10">
      <x:c r="A10" t="str">
        <x:v>PRJ-001</x:v>
      </x:c>
      <x:c r="B10" t="str">
        <x:v>Alpha EPC Project</x:v>
      </x:c>
      <x:c r="C10" s="10" t="n">
        <x:v>45901</x:v>
      </x:c>
      <x:c r="D10" s="12" t="n">
        <x:v>60000000</x:v>
      </x:c>
      <x:c r="E10" s="12" t="n">
        <x:v>55539711.17</x:v>
      </x:c>
      <x:c r="F10" s="12" t="n">
        <x:v>55260605.51</x:v>
      </x:c>
      <x:c r="G10" s="12" t="n">
        <x:v>120000000</x:v>
      </x:c>
      <x:c r="H10" s="12" t="n">
        <x:f>E10-F10</x:f>
        <x:v>279105.6600000039</x:v>
      </x:c>
      <x:c r="I10" s="12" t="n">
        <x:f>E10-D10</x:f>
        <x:v>-4460288.829999998</x:v>
      </x:c>
      <x:c r="J10" s="14" t="n">
        <x:f>IFERROR(E10/F10,0)</x:f>
        <x:v>1.0050507166438756</x:v>
      </x:c>
      <x:c r="K10" s="14" t="n">
        <x:f>IFERROR(E10/D10,0)</x:f>
        <x:v>0.9256618528333334</x:v>
      </x:c>
      <x:c r="L10" s="12" t="n">
        <x:v>119396959.8</x:v>
      </x:c>
      <x:c r="M10" s="12" t="n">
        <x:v>64136354.28</x:v>
      </x:c>
      <x:c r="N10" s="12" t="n">
        <x:f>G10-L10</x:f>
        <x:v>603040.200000003</x:v>
      </x:c>
    </x:row>
    <x:row r="11">
      <x:c r="A11" t="str">
        <x:v>PRJ-001</x:v>
      </x:c>
      <x:c r="B11" t="str">
        <x:v>Alpha EPC Project</x:v>
      </x:c>
      <x:c r="C11" s="10" t="n">
        <x:v>45931</x:v>
      </x:c>
      <x:c r="D11" s="12" t="n">
        <x:v>66666666.67</x:v>
      </x:c>
      <x:c r="E11" s="12" t="n">
        <x:v>61693937.9</x:v>
      </x:c>
      <x:c r="F11" s="12" t="n">
        <x:v>64370807.6</x:v>
      </x:c>
      <x:c r="G11" s="12" t="n">
        <x:v>120000000</x:v>
      </x:c>
      <x:c r="H11" s="12" t="n">
        <x:f>E11-F11</x:f>
        <x:v>-2676869.700000003</x:v>
      </x:c>
      <x:c r="I11" s="12" t="n">
        <x:f>E11-D11</x:f>
        <x:v>-4972728.770000003</x:v>
      </x:c>
      <x:c r="J11" s="14" t="n">
        <x:f>IFERROR(E11/F11,0)</x:f>
        <x:v>0.958414849839479</x:v>
      </x:c>
      <x:c r="K11" s="14" t="n">
        <x:f>IFERROR(E11/D11,0)</x:f>
        <x:v>0.9254090684537295</x:v>
      </x:c>
      <x:c r="L11" s="12" t="n">
        <x:v>125206741.13</x:v>
      </x:c>
      <x:c r="M11" s="12" t="n">
        <x:v>60835933.53</x:v>
      </x:c>
      <x:c r="N11" s="12" t="n">
        <x:f>G11-L11</x:f>
        <x:v>-5206741.129999995</x:v>
      </x:c>
    </x:row>
    <x:row r="12">
      <x:c r="A12" t="str">
        <x:v>PRJ-001</x:v>
      </x:c>
      <x:c r="B12" t="str">
        <x:v>Alpha EPC Project</x:v>
      </x:c>
      <x:c r="C12" s="10" t="n">
        <x:v>45962</x:v>
      </x:c>
      <x:c r="D12" s="12" t="n">
        <x:v>73333333.33</x:v>
      </x:c>
      <x:c r="E12" s="12" t="n">
        <x:v>65473412.18</x:v>
      </x:c>
      <x:c r="F12" s="12" t="n">
        <x:v>65827185.77</x:v>
      </x:c>
      <x:c r="G12" s="12" t="n">
        <x:v>120000000</x:v>
      </x:c>
      <x:c r="H12" s="12" t="n">
        <x:f>E12-F12</x:f>
        <x:v>-353773.5900000036</x:v>
      </x:c>
      <x:c r="I12" s="12" t="n">
        <x:f>E12-D12</x:f>
        <x:v>-7859921.1499999985</x:v>
      </x:c>
      <x:c r="J12" s="14" t="n">
        <x:f>IFERROR(E12/F12,0)</x:f>
        <x:v>0.9946257220954867</x:v>
      </x:c>
      <x:c r="K12" s="14" t="n">
        <x:f>IFERROR(E12/D12,0)</x:f>
        <x:v>0.8928192570405827</x:v>
      </x:c>
      <x:c r="L12" s="12" t="n">
        <x:v>120648398.01</x:v>
      </x:c>
      <x:c r="M12" s="12" t="n">
        <x:v>54821212.25</x:v>
      </x:c>
      <x:c r="N12" s="12" t="n">
        <x:f>G12-L12</x:f>
        <x:v>-648398.0100000054</x:v>
      </x:c>
    </x:row>
    <x:row r="13">
      <x:c r="A13" t="str">
        <x:v>PRJ-001</x:v>
      </x:c>
      <x:c r="B13" t="str">
        <x:v>Alpha EPC Project</x:v>
      </x:c>
      <x:c r="C13" s="10" t="n">
        <x:v>45992</x:v>
      </x:c>
      <x:c r="D13" s="12" t="n">
        <x:v>80000000</x:v>
      </x:c>
      <x:c r="E13" s="12" t="n">
        <x:v>74880530.87</x:v>
      </x:c>
      <x:c r="F13" s="12" t="n">
        <x:v>76234473.45</x:v>
      </x:c>
      <x:c r="G13" s="12" t="n">
        <x:v>120000000</x:v>
      </x:c>
      <x:c r="H13" s="12" t="n">
        <x:f>E13-F13</x:f>
        <x:v>-1353942.5799999982</x:v>
      </x:c>
      <x:c r="I13" s="12" t="n">
        <x:f>E13-D13</x:f>
        <x:v>-5119469.129999995</x:v>
      </x:c>
      <x:c r="J13" s="14" t="n">
        <x:f>IFERROR(E13/F13,0)</x:f>
        <x:v>0.9822397595375535</x:v>
      </x:c>
      <x:c r="K13" s="14" t="n">
        <x:f>IFERROR(E13/D13,0)</x:f>
        <x:v>0.9360066358750001</x:v>
      </x:c>
      <x:c r="L13" s="12" t="n">
        <x:v>122169764.39</x:v>
      </x:c>
      <x:c r="M13" s="12" t="n">
        <x:v>45935290.94</x:v>
      </x:c>
      <x:c r="N13" s="12" t="n">
        <x:f>G13-L13</x:f>
        <x:v>-2169764.3900000006</x:v>
      </x:c>
    </x:row>
    <x:row r="14">
      <x:c r="A14" t="str">
        <x:v>PRJ-001</x:v>
      </x:c>
      <x:c r="B14" t="str">
        <x:v>Alpha EPC Project</x:v>
      </x:c>
      <x:c r="C14" s="10" t="n">
        <x:v>46023</x:v>
      </x:c>
      <x:c r="D14" s="12" t="n">
        <x:v>86666666.67</x:v>
      </x:c>
      <x:c r="E14" s="12" t="n">
        <x:v>75876140.59</x:v>
      </x:c>
      <x:c r="F14" s="12" t="n">
        <x:v>75974013.08</x:v>
      </x:c>
      <x:c r="G14" s="12" t="n">
        <x:v>120000000</x:v>
      </x:c>
      <x:c r="H14" s="12" t="n">
        <x:f>E14-F14</x:f>
        <x:v>-97872.48999999464</x:v>
      </x:c>
      <x:c r="I14" s="12" t="n">
        <x:f>E14-D14</x:f>
        <x:v>-10790526.079999998</x:v>
      </x:c>
      <x:c r="J14" s="14" t="n">
        <x:f>IFERROR(E14/F14,0)</x:f>
        <x:v>0.998711763588203</x:v>
      </x:c>
      <x:c r="K14" s="14" t="n">
        <x:f>IFERROR(E14/D14,0)</x:f>
        <x:v>0.8754939298509425</x:v>
      </x:c>
      <x:c r="L14" s="12" t="n">
        <x:v>120154787.78</x:v>
      </x:c>
      <x:c r="M14" s="12" t="n">
        <x:v>44180774.7</x:v>
      </x:c>
      <x:c r="N14" s="12" t="n">
        <x:f>G14-L14</x:f>
        <x:v>-154787.7800000012</x:v>
      </x:c>
    </x:row>
    <x:row r="15">
      <x:c r="A15" t="str">
        <x:v>PRJ-001</x:v>
      </x:c>
      <x:c r="B15" t="str">
        <x:v>Alpha EPC Project</x:v>
      </x:c>
      <x:c r="C15" s="10" t="n">
        <x:v>46054</x:v>
      </x:c>
      <x:c r="D15" s="12" t="n">
        <x:v>93333333.33</x:v>
      </x:c>
      <x:c r="E15" s="12" t="n">
        <x:v>86643790.47</x:v>
      </x:c>
      <x:c r="F15" s="12" t="n">
        <x:v>89830598.82</x:v>
      </x:c>
      <x:c r="G15" s="12" t="n">
        <x:v>120000000</x:v>
      </x:c>
      <x:c r="H15" s="12" t="n">
        <x:f>E15-F15</x:f>
        <x:v>-3186808.349999994</x:v>
      </x:c>
      <x:c r="I15" s="12" t="n">
        <x:f>E15-D15</x:f>
        <x:v>-6689542.859999999</x:v>
      </x:c>
      <x:c r="J15" s="14" t="n">
        <x:f>IFERROR(E15/F15,0)</x:f>
        <x:v>0.9645242446130674</x:v>
      </x:c>
      <x:c r="K15" s="14" t="n">
        <x:f>IFERROR(E15/D15,0)</x:f>
        <x:v>0.9283263264974402</x:v>
      </x:c>
      <x:c r="L15" s="12" t="n">
        <x:v>124413668.88</x:v>
      </x:c>
      <x:c r="M15" s="12" t="n">
        <x:v>34583070.06</x:v>
      </x:c>
      <x:c r="N15" s="12" t="n">
        <x:f>G15-L15</x:f>
        <x:v>-4413668.879999995</x:v>
      </x:c>
    </x:row>
    <x:row r="16">
      <x:c r="A16" t="str">
        <x:v>PRJ-001</x:v>
      </x:c>
      <x:c r="B16" t="str">
        <x:v>Alpha EPC Project</x:v>
      </x:c>
      <x:c r="C16" s="10" t="n">
        <x:v>46082</x:v>
      </x:c>
      <x:c r="D16" s="12" t="n">
        <x:v>100000000</x:v>
      </x:c>
      <x:c r="E16" s="12" t="n">
        <x:v>92550070</x:v>
      </x:c>
      <x:c r="F16" s="12" t="n">
        <x:v>96770443.6</x:v>
      </x:c>
      <x:c r="G16" s="12" t="n">
        <x:v>120000000</x:v>
      </x:c>
      <x:c r="H16" s="12" t="n">
        <x:f>E16-F16</x:f>
        <x:v>-4220373.599999994</x:v>
      </x:c>
      <x:c r="I16" s="12" t="n">
        <x:f>E16-D16</x:f>
        <x:v>-7449930</x:v>
      </x:c>
      <x:c r="J16" s="14" t="n">
        <x:f>IFERROR(E16/F16,0)</x:f>
        <x:v>0.9563877828498454</x:v>
      </x:c>
      <x:c r="K16" s="14" t="n">
        <x:f>IFERROR(E16/D16,0)</x:f>
        <x:v>0.9255007</x:v>
      </x:c>
      <x:c r="L16" s="12" t="n">
        <x:v>125472117.22</x:v>
      </x:c>
      <x:c r="M16" s="12" t="n">
        <x:v>28701673.63</x:v>
      </x:c>
      <x:c r="N16" s="12" t="n">
        <x:f>G16-L16</x:f>
        <x:v>-5472117.219999999</x:v>
      </x:c>
    </x:row>
    <x:row r="17">
      <x:c r="A17" t="str">
        <x:v>PRJ-001</x:v>
      </x:c>
      <x:c r="B17" t="str">
        <x:v>Alpha EPC Project</x:v>
      </x:c>
      <x:c r="C17" s="10" t="n">
        <x:v>46113</x:v>
      </x:c>
      <x:c r="D17" s="12" t="n">
        <x:v>106666666.67</x:v>
      </x:c>
      <x:c r="E17" s="12" t="n">
        <x:v>96697353.31</x:v>
      </x:c>
      <x:c r="F17" s="12" t="n">
        <x:v>102754268.13</x:v>
      </x:c>
      <x:c r="G17" s="12" t="n">
        <x:v>120000000</x:v>
      </x:c>
      <x:c r="H17" s="12" t="n">
        <x:f>E17-F17</x:f>
        <x:v>-6056914.819999993</x:v>
      </x:c>
      <x:c r="I17" s="12" t="n">
        <x:f>E17-D17</x:f>
        <x:v>-9969313.36</x:v>
      </x:c>
      <x:c r="J17" s="14" t="n">
        <x:f>IFERROR(E17/F17,0)</x:f>
        <x:v>0.9410543724340767</x:v>
      </x:c>
      <x:c r="K17" s="14" t="n">
        <x:f>IFERROR(E17/D17,0)</x:f>
        <x:v>0.9065376872529207</x:v>
      </x:c>
      <x:c r="L17" s="12" t="n">
        <x:v>127516542.63</x:v>
      </x:c>
      <x:c r="M17" s="12" t="n">
        <x:v>24762274.51</x:v>
      </x:c>
      <x:c r="N17" s="12" t="n">
        <x:f>G17-L17</x:f>
        <x:v>-7516542.629999995</x:v>
      </x:c>
    </x:row>
    <x:row r="18">
      <x:c r="A18" t="str">
        <x:v>PRJ-001</x:v>
      </x:c>
      <x:c r="B18" t="str">
        <x:v>Alpha EPC Project</x:v>
      </x:c>
      <x:c r="C18" s="10" t="n">
        <x:v>46143</x:v>
      </x:c>
      <x:c r="D18" s="12" t="n">
        <x:v>113333333.33</x:v>
      </x:c>
      <x:c r="E18" s="12" t="n">
        <x:v>101489901.09</x:v>
      </x:c>
      <x:c r="F18" s="12" t="n">
        <x:v>104855569.67</x:v>
      </x:c>
      <x:c r="G18" s="12" t="n">
        <x:v>120000000</x:v>
      </x:c>
      <x:c r="H18" s="12" t="n">
        <x:f>E18-F18</x:f>
        <x:v>-3365668.579999998</x:v>
      </x:c>
      <x:c r="I18" s="12" t="n">
        <x:f>E18-D18</x:f>
        <x:v>-11843432.239999995</x:v>
      </x:c>
      <x:c r="J18" s="14" t="n">
        <x:f>IFERROR(E18/F18,0)</x:f>
        <x:v>0.9679018616694146</x:v>
      </x:c>
      <x:c r="K18" s="14" t="n">
        <x:f>IFERROR(E18/D18,0)</x:f>
        <x:v>0.8954991272910441</x:v>
      </x:c>
      <x:c r="L18" s="12" t="n">
        <x:v>123979511.52</x:v>
      </x:c>
      <x:c r="M18" s="12" t="n">
        <x:v>19123941.84</x:v>
      </x:c>
      <x:c r="N18" s="12" t="n">
        <x:f>G18-L18</x:f>
        <x:v>-3979511.519999996</x:v>
      </x:c>
    </x:row>
    <x:row r="19">
      <x:c r="A19" t="str">
        <x:v>PRJ-001</x:v>
      </x:c>
      <x:c r="B19" t="str">
        <x:v>Alpha EPC Project</x:v>
      </x:c>
      <x:c r="C19" s="10" t="n">
        <x:v>46174</x:v>
      </x:c>
      <x:c r="D19" s="12" t="n">
        <x:v>120000000</x:v>
      </x:c>
      <x:c r="E19" s="12" t="n">
        <x:v>111247205.68</x:v>
      </x:c>
      <x:c r="F19" s="12" t="n">
        <x:v>115454144.97</x:v>
      </x:c>
      <x:c r="G19" s="12" t="n">
        <x:v>120000000</x:v>
      </x:c>
      <x:c r="H19" s="12" t="n">
        <x:f>E19-F19</x:f>
        <x:v>-4206939.289999992</x:v>
      </x:c>
      <x:c r="I19" s="12" t="n">
        <x:f>E19-D19</x:f>
        <x:v>-8752794.319999993</x:v>
      </x:c>
      <x:c r="J19" s="14" t="n">
        <x:f>IFERROR(E19/F19,0)</x:f>
        <x:v>0.9635618167620302</x:v>
      </x:c>
      <x:c r="K19" s="14" t="n">
        <x:f>IFERROR(E19/D19,0)</x:f>
        <x:v>0.9270600473333334</x:v>
      </x:c>
      <x:c r="L19" s="12" t="n">
        <x:v>124537936.13</x:v>
      </x:c>
      <x:c r="M19" s="12" t="n">
        <x:v>9083791.17</x:v>
      </x:c>
      <x:c r="N19" s="12" t="n">
        <x:f>G19-L19</x:f>
        <x:v>-4537936.129999995</x:v>
      </x:c>
    </x:row>
    <x:row r="20">
      <x:c r="A20" t="str">
        <x:v>PRJ-002</x:v>
      </x:c>
      <x:c r="B20" t="str">
        <x:v>Beta Gas Facility</x:v>
      </x:c>
      <x:c r="C20" s="10" t="n">
        <x:v>45658</x:v>
      </x:c>
      <x:c r="D20" s="12" t="n">
        <x:v>5277777.78</x:v>
      </x:c>
      <x:c r="E20" s="12" t="n">
        <x:v>5313119.74</x:v>
      </x:c>
      <x:c r="F20" s="12" t="n">
        <x:v>5466385.57</x:v>
      </x:c>
      <x:c r="G20" s="12" t="n">
        <x:v>95000000</x:v>
      </x:c>
      <x:c r="H20" s="12" t="n">
        <x:f>E20-F20</x:f>
        <x:v>-153265.83000000007</x:v>
      </x:c>
      <x:c r="I20" s="12" t="n">
        <x:f>E20-D20</x:f>
        <x:v>35341.95999999996</x:v>
      </x:c>
      <x:c r="J20" s="14" t="n">
        <x:f>IFERROR(E20/F20,0)</x:f>
        <x:v>0.971962125972025</x:v>
      </x:c>
      <x:c r="K20" s="14" t="n">
        <x:f>IFERROR(E20/D20,0)</x:f>
        <x:v>1.0066963713656014</x:v>
      </x:c>
      <x:c r="L20" s="12" t="n">
        <x:v>97740433.93</x:v>
      </x:c>
      <x:c r="M20" s="12" t="n">
        <x:v>92274048.36</x:v>
      </x:c>
      <x:c r="N20" s="12" t="n">
        <x:f>G20-L20</x:f>
        <x:v>-2740433.930000007</x:v>
      </x:c>
    </x:row>
    <x:row r="21">
      <x:c r="A21" t="str">
        <x:v>PRJ-002</x:v>
      </x:c>
      <x:c r="B21" t="str">
        <x:v>Beta Gas Facility</x:v>
      </x:c>
      <x:c r="C21" s="10" t="n">
        <x:v>45689</x:v>
      </x:c>
      <x:c r="D21" s="12" t="n">
        <x:v>10555555.56</x:v>
      </x:c>
      <x:c r="E21" s="12" t="n">
        <x:v>10274030.68</x:v>
      </x:c>
      <x:c r="F21" s="12" t="n">
        <x:v>10745568.86</x:v>
      </x:c>
      <x:c r="G21" s="12" t="n">
        <x:v>95000000</x:v>
      </x:c>
      <x:c r="H21" s="12" t="n">
        <x:f>E21-F21</x:f>
        <x:v>-471538.1799999997</x:v>
      </x:c>
      <x:c r="I21" s="12" t="n">
        <x:f>E21-D21</x:f>
        <x:v>-281524.8800000008</x:v>
      </x:c>
      <x:c r="J21" s="14" t="n">
        <x:f>IFERROR(E21/F21,0)</x:f>
        <x:v>0.9561178950929918</x:v>
      </x:c>
      <x:c r="K21" s="14" t="n">
        <x:f>IFERROR(E21/D21,0)</x:f>
        <x:v>0.9733292219059666</x:v>
      </x:c>
      <x:c r="L21" s="12" t="n">
        <x:v>99360131.73</x:v>
      </x:c>
      <x:c r="M21" s="12" t="n">
        <x:v>88614562.87</x:v>
      </x:c>
      <x:c r="N21" s="12" t="n">
        <x:f>G21-L21</x:f>
        <x:v>-4360131.730000004</x:v>
      </x:c>
    </x:row>
    <x:row r="22">
      <x:c r="A22" t="str">
        <x:v>PRJ-002</x:v>
      </x:c>
      <x:c r="B22" t="str">
        <x:v>Beta Gas Facility</x:v>
      </x:c>
      <x:c r="C22" s="10" t="n">
        <x:v>45717</x:v>
      </x:c>
      <x:c r="D22" s="12" t="n">
        <x:v>15833333.33</x:v>
      </x:c>
      <x:c r="E22" s="12" t="n">
        <x:v>15246894.88</x:v>
      </x:c>
      <x:c r="F22" s="12" t="n">
        <x:v>15886263.17</x:v>
      </x:c>
      <x:c r="G22" s="12" t="n">
        <x:v>95000000</x:v>
      </x:c>
      <x:c r="H22" s="12" t="n">
        <x:f>E22-F22</x:f>
        <x:v>-639368.2899999991</x:v>
      </x:c>
      <x:c r="I22" s="12" t="n">
        <x:f>E22-D22</x:f>
        <x:v>-586438.4499999993</x:v>
      </x:c>
      <x:c r="J22" s="14" t="n">
        <x:f>IFERROR(E22/F22,0)</x:f>
        <x:v>0.9597533867368258</x:v>
      </x:c>
      <x:c r="K22" s="14" t="n">
        <x:f>IFERROR(E22/D22,0)</x:f>
        <x:v>0.9629617820974656</x:v>
      </x:c>
      <x:c r="L22" s="12" t="n">
        <x:v>98983761.17</x:v>
      </x:c>
      <x:c r="M22" s="12" t="n">
        <x:v>83097498</x:v>
      </x:c>
      <x:c r="N22" s="12" t="n">
        <x:f>G22-L22</x:f>
        <x:v>-3983761.170000002</x:v>
      </x:c>
    </x:row>
    <x:row r="23">
      <x:c r="A23" t="str">
        <x:v>PRJ-002</x:v>
      </x:c>
      <x:c r="B23" t="str">
        <x:v>Beta Gas Facility</x:v>
      </x:c>
      <x:c r="C23" s="10" t="n">
        <x:v>45748</x:v>
      </x:c>
      <x:c r="D23" s="12" t="n">
        <x:v>21111111.11</x:v>
      </x:c>
      <x:c r="E23" s="12" t="n">
        <x:v>20360536.03</x:v>
      </x:c>
      <x:c r="F23" s="12" t="n">
        <x:v>21278737.53</x:v>
      </x:c>
      <x:c r="G23" s="12" t="n">
        <x:v>95000000</x:v>
      </x:c>
      <x:c r="H23" s="12" t="n">
        <x:f>E23-F23</x:f>
        <x:v>-918201.5</x:v>
      </x:c>
      <x:c r="I23" s="12" t="n">
        <x:f>E23-D23</x:f>
        <x:v>-750575.0799999982</x:v>
      </x:c>
      <x:c r="J23" s="14" t="n">
        <x:f>IFERROR(E23/F23,0)</x:f>
        <x:v>0.9568488732611384</x:v>
      </x:c>
      <x:c r="K23" s="14" t="n">
        <x:f>IFERROR(E23/D23,0)</x:f>
        <x:v>0.9644464435770762</x:v>
      </x:c>
      <x:c r="L23" s="12" t="n">
        <x:v>99284226.23</x:v>
      </x:c>
      <x:c r="M23" s="12" t="n">
        <x:v>78005488.71</x:v>
      </x:c>
      <x:c r="N23" s="12" t="n">
        <x:f>G23-L23</x:f>
        <x:v>-4284226.230000004</x:v>
      </x:c>
    </x:row>
    <x:row r="24">
      <x:c r="A24" t="str">
        <x:v>PRJ-002</x:v>
      </x:c>
      <x:c r="B24" t="str">
        <x:v>Beta Gas Facility</x:v>
      </x:c>
      <x:c r="C24" s="10" t="n">
        <x:v>45778</x:v>
      </x:c>
      <x:c r="D24" s="12" t="n">
        <x:v>26388888.89</x:v>
      </x:c>
      <x:c r="E24" s="12" t="n">
        <x:v>26438348.38</x:v>
      </x:c>
      <x:c r="F24" s="12" t="n">
        <x:v>27791389.51</x:v>
      </x:c>
      <x:c r="G24" s="12" t="n">
        <x:v>95000000</x:v>
      </x:c>
      <x:c r="H24" s="12" t="n">
        <x:f>E24-F24</x:f>
        <x:v>-1353041.1300000027</x:v>
      </x:c>
      <x:c r="I24" s="12" t="n">
        <x:f>E24-D24</x:f>
        <x:v>49459.48999999836</x:v>
      </x:c>
      <x:c r="J24" s="14" t="n">
        <x:f>IFERROR(E24/F24,0)</x:f>
        <x:v>0.951314376364192</x:v>
      </x:c>
      <x:c r="K24" s="14" t="n">
        <x:f>IFERROR(E24/D24,0)</x:f>
        <x:v>1.0018742543578159</x:v>
      </x:c>
      <x:c r="L24" s="12" t="n">
        <x:v>99861835.76</x:v>
      </x:c>
      <x:c r="M24" s="12" t="n">
        <x:v>72070446.25</x:v>
      </x:c>
      <x:c r="N24" s="12" t="n">
        <x:f>G24-L24</x:f>
        <x:v>-4861835.760000005</x:v>
      </x:c>
    </x:row>
    <x:row r="25">
      <x:c r="A25" t="str">
        <x:v>PRJ-002</x:v>
      </x:c>
      <x:c r="B25" t="str">
        <x:v>Beta Gas Facility</x:v>
      </x:c>
      <x:c r="C25" s="10" t="n">
        <x:v>45809</x:v>
      </x:c>
      <x:c r="D25" s="12" t="n">
        <x:v>31666666.67</x:v>
      </x:c>
      <x:c r="E25" s="12" t="n">
        <x:v>31137485.35</x:v>
      </x:c>
      <x:c r="F25" s="12" t="n">
        <x:v>32392464.82</x:v>
      </x:c>
      <x:c r="G25" s="12" t="n">
        <x:v>95000000</x:v>
      </x:c>
      <x:c r="H25" s="12" t="n">
        <x:f>E25-F25</x:f>
        <x:v>-1254979.4699999988</x:v>
      </x:c>
      <x:c r="I25" s="12" t="n">
        <x:f>E25-D25</x:f>
        <x:v>-529181.3200000003</x:v>
      </x:c>
      <x:c r="J25" s="14" t="n">
        <x:f>IFERROR(E25/F25,0)</x:f>
        <x:v>0.9612570553993428</x:v>
      </x:c>
      <x:c r="K25" s="14" t="n">
        <x:f>IFERROR(E25/D25,0)</x:f>
        <x:v>0.9832890109491275</x:v>
      </x:c>
      <x:c r="L25" s="12" t="n">
        <x:v>98828923.53</x:v>
      </x:c>
      <x:c r="M25" s="12" t="n">
        <x:v>66436458.71</x:v>
      </x:c>
      <x:c r="N25" s="12" t="n">
        <x:f>G25-L25</x:f>
        <x:v>-3828923.530000001</x:v>
      </x:c>
    </x:row>
    <x:row r="26">
      <x:c r="A26" t="str">
        <x:v>PRJ-002</x:v>
      </x:c>
      <x:c r="B26" t="str">
        <x:v>Beta Gas Facility</x:v>
      </x:c>
      <x:c r="C26" s="10" t="n">
        <x:v>45839</x:v>
      </x:c>
      <x:c r="D26" s="12" t="n">
        <x:v>36944444.44</x:v>
      </x:c>
      <x:c r="E26" s="12" t="n">
        <x:v>36060171.44</x:v>
      </x:c>
      <x:c r="F26" s="12" t="n">
        <x:v>39349031.7</x:v>
      </x:c>
      <x:c r="G26" s="12" t="n">
        <x:v>95000000</x:v>
      </x:c>
      <x:c r="H26" s="12" t="n">
        <x:f>E26-F26</x:f>
        <x:v>-3288860.2600000054</x:v>
      </x:c>
      <x:c r="I26" s="12" t="n">
        <x:f>E26-D26</x:f>
        <x:v>-884273</x:v>
      </x:c>
      <x:c r="J26" s="14" t="n">
        <x:f>IFERROR(E26/F26,0)</x:f>
        <x:v>0.9164182670345099</x:v>
      </x:c>
      <x:c r="K26" s="14" t="n">
        <x:f>IFERROR(E26/D26,0)</x:f>
        <x:v>0.9760647909745642</x:v>
      </x:c>
      <x:c r="L26" s="12" t="n">
        <x:v>103664454.78</x:v>
      </x:c>
      <x:c r="M26" s="12" t="n">
        <x:v>64315423.08</x:v>
      </x:c>
      <x:c r="N26" s="12" t="n">
        <x:f>G26-L26</x:f>
        <x:v>-8664454.780000001</x:v>
      </x:c>
    </x:row>
    <x:row r="27">
      <x:c r="A27" t="str">
        <x:v>PRJ-002</x:v>
      </x:c>
      <x:c r="B27" t="str">
        <x:v>Beta Gas Facility</x:v>
      </x:c>
      <x:c r="C27" s="10" t="n">
        <x:v>45870</x:v>
      </x:c>
      <x:c r="D27" s="12" t="n">
        <x:v>42222222.22</x:v>
      </x:c>
      <x:c r="E27" s="12" t="n">
        <x:v>42337861.3</x:v>
      </x:c>
      <x:c r="F27" s="12" t="n">
        <x:v>45228611.57</x:v>
      </x:c>
      <x:c r="G27" s="12" t="n">
        <x:v>95000000</x:v>
      </x:c>
      <x:c r="H27" s="12" t="n">
        <x:f>E27-F27</x:f>
        <x:v>-2890750.2700000033</x:v>
      </x:c>
      <x:c r="I27" s="12" t="n">
        <x:f>E27-D27</x:f>
        <x:v>115639.07999999821</x:v>
      </x:c>
      <x:c r="J27" s="14" t="n">
        <x:f>IFERROR(E27/F27,0)</x:f>
        <x:v>0.9360858056514512</x:v>
      </x:c>
      <x:c r="K27" s="14" t="n">
        <x:f>IFERROR(E27/D27,0)</x:f>
        <x:v>1.0027388203159335</x:v>
      </x:c>
      <x:c r="L27" s="12" t="n">
        <x:v>101486422.96</x:v>
      </x:c>
      <x:c r="M27" s="12" t="n">
        <x:v>56257811.39</x:v>
      </x:c>
      <x:c r="N27" s="12" t="n">
        <x:f>G27-L27</x:f>
        <x:v>-6486422.959999993</x:v>
      </x:c>
    </x:row>
    <x:row r="28">
      <x:c r="A28" t="str">
        <x:v>PRJ-002</x:v>
      </x:c>
      <x:c r="B28" t="str">
        <x:v>Beta Gas Facility</x:v>
      </x:c>
      <x:c r="C28" s="10" t="n">
        <x:v>45901</x:v>
      </x:c>
      <x:c r="D28" s="12" t="n">
        <x:v>47500000</x:v>
      </x:c>
      <x:c r="E28" s="12" t="n">
        <x:v>46044412.31</x:v>
      </x:c>
      <x:c r="F28" s="12" t="n">
        <x:v>49574998.48</x:v>
      </x:c>
      <x:c r="G28" s="12" t="n">
        <x:v>95000000</x:v>
      </x:c>
      <x:c r="H28" s="12" t="n">
        <x:f>E28-F28</x:f>
        <x:v>-3530586.1699999943</x:v>
      </x:c>
      <x:c r="I28" s="12" t="n">
        <x:f>E28-D28</x:f>
        <x:v>-1455587.6899999976</x:v>
      </x:c>
      <x:c r="J28" s="14" t="n">
        <x:f>IFERROR(E28/F28,0)</x:f>
        <x:v>0.928782929334343</x:v>
      </x:c>
      <x:c r="K28" s="14" t="n">
        <x:f>IFERROR(E28/D28,0)</x:f>
        <x:v>0.969356048631579</x:v>
      </x:c>
      <x:c r="L28" s="12" t="n">
        <x:v>102284394.98</x:v>
      </x:c>
      <x:c r="M28" s="12" t="n">
        <x:v>52709396.5</x:v>
      </x:c>
      <x:c r="N28" s="12" t="n">
        <x:f>G28-L28</x:f>
        <x:v>-7284394.980000004</x:v>
      </x:c>
    </x:row>
    <x:row r="29">
      <x:c r="A29" t="str">
        <x:v>PRJ-002</x:v>
      </x:c>
      <x:c r="B29" t="str">
        <x:v>Beta Gas Facility</x:v>
      </x:c>
      <x:c r="C29" s="10" t="n">
        <x:v>45931</x:v>
      </x:c>
      <x:c r="D29" s="12" t="n">
        <x:v>52777777.78</x:v>
      </x:c>
      <x:c r="E29" s="12" t="n">
        <x:v>51131877.33</x:v>
      </x:c>
      <x:c r="F29" s="12" t="n">
        <x:v>53801004.63</x:v>
      </x:c>
      <x:c r="G29" s="12" t="n">
        <x:v>95000000</x:v>
      </x:c>
      <x:c r="H29" s="12" t="n">
        <x:f>E29-F29</x:f>
        <x:v>-2669127.3000000045</x:v>
      </x:c>
      <x:c r="I29" s="12" t="n">
        <x:f>E29-D29</x:f>
        <x:v>-1645900.450000003</x:v>
      </x:c>
      <x:c r="J29" s="14" t="n">
        <x:f>IFERROR(E29/F29,0)</x:f>
        <x:v>0.9503888948104945</x:v>
      </x:c>
      <x:c r="K29" s="14" t="n">
        <x:f>IFERROR(E29/D29,0)</x:f>
        <x:v>0.9688145177907868</x:v>
      </x:c>
      <x:c r="L29" s="12" t="n">
        <x:v>99959080.46</x:v>
      </x:c>
      <x:c r="M29" s="12" t="n">
        <x:v>46158075.83</x:v>
      </x:c>
      <x:c r="N29" s="12" t="n">
        <x:f>G29-L29</x:f>
        <x:v>-4959080.459999993</x:v>
      </x:c>
    </x:row>
    <x:row r="30">
      <x:c r="A30" t="str">
        <x:v>PRJ-002</x:v>
      </x:c>
      <x:c r="B30" t="str">
        <x:v>Beta Gas Facility</x:v>
      </x:c>
      <x:c r="C30" s="10" t="n">
        <x:v>45962</x:v>
      </x:c>
      <x:c r="D30" s="12" t="n">
        <x:v>58055555.56</x:v>
      </x:c>
      <x:c r="E30" s="12" t="n">
        <x:v>59602328.43</x:v>
      </x:c>
      <x:c r="F30" s="12" t="n">
        <x:v>63800653.82</x:v>
      </x:c>
      <x:c r="G30" s="12" t="n">
        <x:v>95000000</x:v>
      </x:c>
      <x:c r="H30" s="12" t="n">
        <x:f>E30-F30</x:f>
        <x:v>-4198325.390000001</x:v>
      </x:c>
      <x:c r="I30" s="12" t="n">
        <x:f>E30-D30</x:f>
        <x:v>1546772.8699999973</x:v>
      </x:c>
      <x:c r="J30" s="14" t="n">
        <x:f>IFERROR(E30/F30,0)</x:f>
        <x:v>0.934196201157363</x:v>
      </x:c>
      <x:c r="K30" s="14" t="n">
        <x:f>IFERROR(E30/D30,0)</x:f>
        <x:v>1.0266429776630321</x:v>
      </x:c>
      <x:c r="L30" s="12" t="n">
        <x:v>101691700.18</x:v>
      </x:c>
      <x:c r="M30" s="12" t="n">
        <x:v>37891046.36</x:v>
      </x:c>
      <x:c r="N30" s="12" t="n">
        <x:f>G30-L30</x:f>
        <x:v>-6691700.180000007</x:v>
      </x:c>
    </x:row>
    <x:row r="31">
      <x:c r="A31" t="str">
        <x:v>PRJ-002</x:v>
      </x:c>
      <x:c r="B31" t="str">
        <x:v>Beta Gas Facility</x:v>
      </x:c>
      <x:c r="C31" s="10" t="n">
        <x:v>45992</x:v>
      </x:c>
      <x:c r="D31" s="12" t="n">
        <x:v>63333333.33</x:v>
      </x:c>
      <x:c r="E31" s="12" t="n">
        <x:v>63102978.94</x:v>
      </x:c>
      <x:c r="F31" s="12" t="n">
        <x:v>67744957.98</x:v>
      </x:c>
      <x:c r="G31" s="12" t="n">
        <x:v>95000000</x:v>
      </x:c>
      <x:c r="H31" s="12" t="n">
        <x:f>E31-F31</x:f>
        <x:v>-4641979.040000007</x:v>
      </x:c>
      <x:c r="I31" s="12" t="n">
        <x:f>E31-D31</x:f>
        <x:v>-230354.3900000006</x:v>
      </x:c>
      <x:c r="J31" s="14" t="n">
        <x:f>IFERROR(E31/F31,0)</x:f>
        <x:v>0.9314786047786695</x:v>
      </x:c>
      <x:c r="K31" s="14" t="n">
        <x:f>IFERROR(E31/D31,0)</x:f>
        <x:v>0.9963628254208612</x:v>
      </x:c>
      <x:c r="L31" s="12" t="n">
        <x:v>101988386.54</x:v>
      </x:c>
      <x:c r="M31" s="12" t="n">
        <x:v>34243428.57</x:v>
      </x:c>
      <x:c r="N31" s="12" t="n">
        <x:f>G31-L31</x:f>
        <x:v>-6988386.540000007</x:v>
      </x:c>
    </x:row>
    <x:row r="32">
      <x:c r="A32" t="str">
        <x:v>PRJ-002</x:v>
      </x:c>
      <x:c r="B32" t="str">
        <x:v>Beta Gas Facility</x:v>
      </x:c>
      <x:c r="C32" s="10" t="n">
        <x:v>46023</x:v>
      </x:c>
      <x:c r="D32" s="12" t="n">
        <x:v>68611111.11</x:v>
      </x:c>
      <x:c r="E32" s="12" t="n">
        <x:v>69734685.13</x:v>
      </x:c>
      <x:c r="F32" s="12" t="n">
        <x:v>75310598.02</x:v>
      </x:c>
      <x:c r="G32" s="12" t="n">
        <x:v>95000000</x:v>
      </x:c>
      <x:c r="H32" s="12" t="n">
        <x:f>E32-F32</x:f>
        <x:v>-5575912.890000001</x:v>
      </x:c>
      <x:c r="I32" s="12" t="n">
        <x:f>E32-D32</x:f>
        <x:v>1123574.0199999958</x:v>
      </x:c>
      <x:c r="J32" s="14" t="n">
        <x:f>IFERROR(E32/F32,0)</x:f>
        <x:v>0.9259611125579003</x:v>
      </x:c>
      <x:c r="K32" s="14" t="n">
        <x:f>IFERROR(E32/D32,0)</x:f>
        <x:v>1.0163759776196983</x:v>
      </x:c>
      <x:c r="L32" s="12" t="n">
        <x:v>102596101.19</x:v>
      </x:c>
      <x:c r="M32" s="12" t="n">
        <x:v>27285503.16</x:v>
      </x:c>
      <x:c r="N32" s="12" t="n">
        <x:f>G32-L32</x:f>
        <x:v>-7596101.189999998</x:v>
      </x:c>
    </x:row>
    <x:row r="33">
      <x:c r="A33" t="str">
        <x:v>PRJ-002</x:v>
      </x:c>
      <x:c r="B33" t="str">
        <x:v>Beta Gas Facility</x:v>
      </x:c>
      <x:c r="C33" s="10" t="n">
        <x:v>46054</x:v>
      </x:c>
      <x:c r="D33" s="12" t="n">
        <x:v>73888888.89</x:v>
      </x:c>
      <x:c r="E33" s="12" t="n">
        <x:v>71924161.78</x:v>
      </x:c>
      <x:c r="F33" s="12" t="n">
        <x:v>73929837.74</x:v>
      </x:c>
      <x:c r="G33" s="12" t="n">
        <x:v>95000000</x:v>
      </x:c>
      <x:c r="H33" s="12" t="n">
        <x:f>E33-F33</x:f>
        <x:v>-2005675.9599999934</x:v>
      </x:c>
      <x:c r="I33" s="12" t="n">
        <x:f>E33-D33</x:f>
        <x:v>-1964727.1099999994</x:v>
      </x:c>
      <x:c r="J33" s="14" t="n">
        <x:f>IFERROR(E33/F33,0)</x:f>
        <x:v>0.9728705483291651</x:v>
      </x:c>
      <x:c r="K33" s="14" t="n">
        <x:f>IFERROR(E33/D33,0)</x:f>
        <x:v>0.9734097082861142</x:v>
      </x:c>
      <x:c r="L33" s="12" t="n">
        <x:v>97649168.4</x:v>
      </x:c>
      <x:c r="M33" s="12" t="n">
        <x:v>23719330.66</x:v>
      </x:c>
      <x:c r="N33" s="12" t="n">
        <x:f>G33-L33</x:f>
        <x:v>-2649168.400000006</x:v>
      </x:c>
    </x:row>
    <x:row r="34">
      <x:c r="A34" t="str">
        <x:v>PRJ-002</x:v>
      </x:c>
      <x:c r="B34" t="str">
        <x:v>Beta Gas Facility</x:v>
      </x:c>
      <x:c r="C34" s="10" t="n">
        <x:v>46082</x:v>
      </x:c>
      <x:c r="D34" s="12" t="n">
        <x:v>79166666.67</x:v>
      </x:c>
      <x:c r="E34" s="12" t="n">
        <x:v>77540429.48</x:v>
      </x:c>
      <x:c r="F34" s="12" t="n">
        <x:v>80981737.9</x:v>
      </x:c>
      <x:c r="G34" s="12" t="n">
        <x:v>95000000</x:v>
      </x:c>
      <x:c r="H34" s="12" t="n">
        <x:f>E34-F34</x:f>
        <x:v>-3441308.420000002</x:v>
      </x:c>
      <x:c r="I34" s="12" t="n">
        <x:f>E34-D34</x:f>
        <x:v>-1626237.1899999976</x:v>
      </x:c>
      <x:c r="J34" s="14" t="n">
        <x:f>IFERROR(E34/F34,0)</x:f>
        <x:v>0.9575051300547601</x:v>
      </x:c>
      <x:c r="K34" s="14" t="n">
        <x:f>IFERROR(E34/D34,0)</x:f>
        <x:v>0.9794580565482334</x:v>
      </x:c>
      <x:c r="L34" s="12" t="n">
        <x:v>99216178.6</x:v>
      </x:c>
      <x:c r="M34" s="12" t="n">
        <x:v>18234440.7</x:v>
      </x:c>
      <x:c r="N34" s="12" t="n">
        <x:f>G34-L34</x:f>
        <x:v>-4216178.599999994</x:v>
      </x:c>
    </x:row>
    <x:row r="35">
      <x:c r="A35" t="str">
        <x:v>PRJ-002</x:v>
      </x:c>
      <x:c r="B35" t="str">
        <x:v>Beta Gas Facility</x:v>
      </x:c>
      <x:c r="C35" s="10" t="n">
        <x:v>46113</x:v>
      </x:c>
      <x:c r="D35" s="12" t="n">
        <x:v>84444444.44</x:v>
      </x:c>
      <x:c r="E35" s="12" t="n">
        <x:v>82092256.46</x:v>
      </x:c>
      <x:c r="F35" s="12" t="n">
        <x:v>89615408.06</x:v>
      </x:c>
      <x:c r="G35" s="12" t="n">
        <x:v>95000000</x:v>
      </x:c>
      <x:c r="H35" s="12" t="n">
        <x:f>E35-F35</x:f>
        <x:v>-7523151.600000009</x:v>
      </x:c>
      <x:c r="I35" s="12" t="n">
        <x:f>E35-D35</x:f>
        <x:v>-2352187.980000004</x:v>
      </x:c>
      <x:c r="J35" s="14" t="n">
        <x:f>IFERROR(E35/F35,0)</x:f>
        <x:v>0.9160506908034939</x:v>
      </x:c>
      <x:c r="K35" s="14" t="n">
        <x:f>IFERROR(E35/D35,0)</x:f>
        <x:v>0.9721451423406392</x:v>
      </x:c>
      <x:c r="L35" s="12" t="n">
        <x:v>103706051.37</x:v>
      </x:c>
      <x:c r="M35" s="12" t="n">
        <x:v>14090643.31</x:v>
      </x:c>
      <x:c r="N35" s="12" t="n">
        <x:f>G35-L35</x:f>
        <x:v>-8706051.370000005</x:v>
      </x:c>
    </x:row>
    <x:row r="36">
      <x:c r="A36" t="str">
        <x:v>PRJ-002</x:v>
      </x:c>
      <x:c r="B36" t="str">
        <x:v>Beta Gas Facility</x:v>
      </x:c>
      <x:c r="C36" s="10" t="n">
        <x:v>46143</x:v>
      </x:c>
      <x:c r="D36" s="12" t="n">
        <x:v>89722222.22</x:v>
      </x:c>
      <x:c r="E36" s="12" t="n">
        <x:v>91402008.58</x:v>
      </x:c>
      <x:c r="F36" s="12" t="n">
        <x:v>95758814.9</x:v>
      </x:c>
      <x:c r="G36" s="12" t="n">
        <x:v>95000000</x:v>
      </x:c>
      <x:c r="H36" s="12" t="n">
        <x:f>E36-F36</x:f>
        <x:v>-4356806.320000008</x:v>
      </x:c>
      <x:c r="I36" s="12" t="n">
        <x:f>E36-D36</x:f>
        <x:v>1679786.3599999994</x:v>
      </x:c>
      <x:c r="J36" s="14" t="n">
        <x:f>IFERROR(E36/F36,0)</x:f>
        <x:v>0.9545022949109199</x:v>
      </x:c>
      <x:c r="K36" s="14" t="n">
        <x:f>IFERROR(E36/D36,0)</x:f>
        <x:v>1.018722077077863</x:v>
      </x:c>
      <x:c r="L36" s="12" t="n">
        <x:v>99528309.68</x:v>
      </x:c>
      <x:c r="M36" s="12" t="n">
        <x:v>3769494.78</x:v>
      </x:c>
      <x:c r="N36" s="12" t="n">
        <x:f>G36-L36</x:f>
        <x:v>-4528309.680000007</x:v>
      </x:c>
    </x:row>
    <x:row r="37">
      <x:c r="A37" t="str">
        <x:v>PRJ-002</x:v>
      </x:c>
      <x:c r="B37" t="str">
        <x:v>Beta Gas Facility</x:v>
      </x:c>
      <x:c r="C37" s="10" t="n">
        <x:v>46174</x:v>
      </x:c>
      <x:c r="D37" s="12" t="n">
        <x:v>95000000</x:v>
      </x:c>
      <x:c r="E37" s="12" t="n">
        <x:v>95000000</x:v>
      </x:c>
      <x:c r="F37" s="12" t="n">
        <x:v>100066653.92</x:v>
      </x:c>
      <x:c r="G37" s="12" t="n">
        <x:v>95000000</x:v>
      </x:c>
      <x:c r="H37" s="12" t="n">
        <x:f>E37-F37</x:f>
        <x:v>-5066653.920000002</x:v>
      </x:c>
      <x:c r="I37" s="12" t="n">
        <x:f>E37-D37</x:f>
        <x:v>0</x:v>
      </x:c>
      <x:c r="J37" s="14" t="n">
        <x:f>IFERROR(E37/F37,0)</x:f>
        <x:v>0.9493672095396471</x:v>
      </x:c>
      <x:c r="K37" s="14" t="n">
        <x:f>IFERROR(E37/D37,0)</x:f>
        <x:v>1</x:v>
      </x:c>
      <x:c r="L37" s="12" t="n">
        <x:v>100066653.92</x:v>
      </x:c>
      <x:c r="M37" s="12" t="n">
        <x:v>0</x:v>
      </x:c>
      <x:c r="N37" s="12" t="n">
        <x:f>G37-L37</x:f>
        <x:v>-5066653.920000002</x:v>
      </x:c>
    </x:row>
    <x:row r="38">
      <x:c r="A38" t="str">
        <x:v>PRJ-003</x:v>
      </x:c>
      <x:c r="B38" t="str">
        <x:v>Gamma Pipeline</x:v>
      </x:c>
      <x:c r="C38" s="10" t="n">
        <x:v>45658</x:v>
      </x:c>
      <x:c r="D38" s="12" t="n">
        <x:v>8333333.33</x:v>
      </x:c>
      <x:c r="E38" s="12" t="n">
        <x:v>7974649.23</x:v>
      </x:c>
      <x:c r="F38" s="12" t="n">
        <x:v>8375778.78</x:v>
      </x:c>
      <x:c r="G38" s="12" t="n">
        <x:v>150000000</x:v>
      </x:c>
      <x:c r="H38" s="12" t="n">
        <x:f>E38-F38</x:f>
        <x:v>-401129.5499999998</x:v>
      </x:c>
      <x:c r="I38" s="12" t="n">
        <x:f>E38-D38</x:f>
        <x:v>-358684.0999999996</x:v>
      </x:c>
      <x:c r="J38" s="14" t="n">
        <x:f>IFERROR(E38/F38,0)</x:f>
        <x:v>0.9521083877050536</x:v>
      </x:c>
      <x:c r="K38" s="14" t="n">
        <x:f>IFERROR(E38/D38,0)</x:f>
        <x:v>0.9569579079827832</x:v>
      </x:c>
      <x:c r="L38" s="12" t="n">
        <x:v>157545088.22</x:v>
      </x:c>
      <x:c r="M38" s="12" t="n">
        <x:v>149169309.44</x:v>
      </x:c>
      <x:c r="N38" s="12" t="n">
        <x:f>G38-L38</x:f>
        <x:v>-7545088.219999999</x:v>
      </x:c>
    </x:row>
    <x:row r="39">
      <x:c r="A39" t="str">
        <x:v>PRJ-003</x:v>
      </x:c>
      <x:c r="B39" t="str">
        <x:v>Gamma Pipeline</x:v>
      </x:c>
      <x:c r="C39" s="10" t="n">
        <x:v>45689</x:v>
      </x:c>
      <x:c r="D39" s="12" t="n">
        <x:v>16666666.67</x:v>
      </x:c>
      <x:c r="E39" s="12" t="n">
        <x:v>16295201.1</x:v>
      </x:c>
      <x:c r="F39" s="12" t="n">
        <x:v>17133240.07</x:v>
      </x:c>
      <x:c r="G39" s="12" t="n">
        <x:v>150000000</x:v>
      </x:c>
      <x:c r="H39" s="12" t="n">
        <x:f>E39-F39</x:f>
        <x:v>-838038.9700000007</x:v>
      </x:c>
      <x:c r="I39" s="12" t="n">
        <x:f>E39-D39</x:f>
        <x:v>-371465.5700000003</x:v>
      </x:c>
      <x:c r="J39" s="14" t="n">
        <x:f>IFERROR(E39/F39,0)</x:f>
        <x:v>0.9510869533972508</x:v>
      </x:c>
      <x:c r="K39" s="14" t="n">
        <x:f>IFERROR(E39/D39,0)</x:f>
        <x:v>0.9777120658044576</x:v>
      </x:c>
      <x:c r="L39" s="12" t="n">
        <x:v>157714286.27</x:v>
      </x:c>
      <x:c r="M39" s="12" t="n">
        <x:v>140581046.2</x:v>
      </x:c>
      <x:c r="N39" s="12" t="n">
        <x:f>G39-L39</x:f>
        <x:v>-7714286.270000011</x:v>
      </x:c>
    </x:row>
    <x:row r="40">
      <x:c r="A40" t="str">
        <x:v>PRJ-003</x:v>
      </x:c>
      <x:c r="B40" t="str">
        <x:v>Gamma Pipeline</x:v>
      </x:c>
      <x:c r="C40" s="10" t="n">
        <x:v>45717</x:v>
      </x:c>
      <x:c r="D40" s="12" t="n">
        <x:v>25000000</x:v>
      </x:c>
      <x:c r="E40" s="12" t="n">
        <x:v>24483432.89</x:v>
      </x:c>
      <x:c r="F40" s="12" t="n">
        <x:v>26831008.85</x:v>
      </x:c>
      <x:c r="G40" s="12" t="n">
        <x:v>150000000</x:v>
      </x:c>
      <x:c r="H40" s="12" t="n">
        <x:f>E40-F40</x:f>
        <x:v>-2347575.960000001</x:v>
      </x:c>
      <x:c r="I40" s="12" t="n">
        <x:f>E40-D40</x:f>
        <x:v>-516567.1099999994</x:v>
      </x:c>
      <x:c r="J40" s="14" t="n">
        <x:f>IFERROR(E40/F40,0)</x:f>
        <x:v>0.9125051177492344</x:v>
      </x:c>
      <x:c r="K40" s="14" t="n">
        <x:f>IFERROR(E40/D40,0)</x:f>
        <x:v>0.9793373156</x:v>
      </x:c>
      <x:c r="L40" s="12" t="n">
        <x:v>164382639.66</x:v>
      </x:c>
      <x:c r="M40" s="12" t="n">
        <x:v>137551630.82</x:v>
      </x:c>
      <x:c r="N40" s="12" t="n">
        <x:f>G40-L40</x:f>
        <x:v>-14382639.659999996</x:v>
      </x:c>
    </x:row>
    <x:row r="41">
      <x:c r="A41" t="str">
        <x:v>PRJ-003</x:v>
      </x:c>
      <x:c r="B41" t="str">
        <x:v>Gamma Pipeline</x:v>
      </x:c>
      <x:c r="C41" s="10" t="n">
        <x:v>45748</x:v>
      </x:c>
      <x:c r="D41" s="12" t="n">
        <x:v>33333333.33</x:v>
      </x:c>
      <x:c r="E41" s="12" t="n">
        <x:v>32212477.73</x:v>
      </x:c>
      <x:c r="F41" s="12" t="n">
        <x:v>33771211.04</x:v>
      </x:c>
      <x:c r="G41" s="12" t="n">
        <x:v>150000000</x:v>
      </x:c>
      <x:c r="H41" s="12" t="n">
        <x:f>E41-F41</x:f>
        <x:v>-1558733.3099999987</x:v>
      </x:c>
      <x:c r="I41" s="12" t="n">
        <x:f>E41-D41</x:f>
        <x:v>-1120855.5999999978</x:v>
      </x:c>
      <x:c r="J41" s="14" t="n">
        <x:f>IFERROR(E41/F41,0)</x:f>
        <x:v>0.9538443170381491</x:v>
      </x:c>
      <x:c r="K41" s="14" t="n">
        <x:f>IFERROR(E41/D41,0)</x:f>
        <x:v>0.9663743319966375</x:v>
      </x:c>
      <x:c r="L41" s="12" t="n">
        <x:v>157258367.36</x:v>
      </x:c>
      <x:c r="M41" s="12" t="n">
        <x:v>123487156.32</x:v>
      </x:c>
      <x:c r="N41" s="12" t="n">
        <x:f>G41-L41</x:f>
        <x:v>-7258367.360000014</x:v>
      </x:c>
    </x:row>
    <x:row r="42">
      <x:c r="A42" t="str">
        <x:v>PRJ-003</x:v>
      </x:c>
      <x:c r="B42" t="str">
        <x:v>Gamma Pipeline</x:v>
      </x:c>
      <x:c r="C42" s="10" t="n">
        <x:v>45778</x:v>
      </x:c>
      <x:c r="D42" s="12" t="n">
        <x:v>41666666.67</x:v>
      </x:c>
      <x:c r="E42" s="12" t="n">
        <x:v>42010163.7</x:v>
      </x:c>
      <x:c r="F42" s="12" t="n">
        <x:v>44896409.12</x:v>
      </x:c>
      <x:c r="G42" s="12" t="n">
        <x:v>150000000</x:v>
      </x:c>
      <x:c r="H42" s="12" t="n">
        <x:f>E42-F42</x:f>
        <x:v>-2886245.4199999943</x:v>
      </x:c>
      <x:c r="I42" s="12" t="n">
        <x:f>E42-D42</x:f>
        <x:v>343497.0300000012</x:v>
      </x:c>
      <x:c r="J42" s="14" t="n">
        <x:f>IFERROR(E42/F42,0)</x:f>
        <x:v>0.9357132234721582</x:v>
      </x:c>
      <x:c r="K42" s="14" t="n">
        <x:f>IFERROR(E42/D42,0)</x:f>
        <x:v>1.0082439287193405</x:v>
      </x:c>
      <x:c r="L42" s="12" t="n">
        <x:v>160305525.47</x:v>
      </x:c>
      <x:c r="M42" s="12" t="n">
        <x:v>115409116.35</x:v>
      </x:c>
      <x:c r="N42" s="12" t="n">
        <x:f>G42-L42</x:f>
        <x:v>-10305525.469999999</x:v>
      </x:c>
    </x:row>
    <x:row r="43">
      <x:c r="A43" t="str">
        <x:v>PRJ-003</x:v>
      </x:c>
      <x:c r="B43" t="str">
        <x:v>Gamma Pipeline</x:v>
      </x:c>
      <x:c r="C43" s="10" t="n">
        <x:v>45809</x:v>
      </x:c>
      <x:c r="D43" s="12" t="n">
        <x:v>50000000</x:v>
      </x:c>
      <x:c r="E43" s="12" t="n">
        <x:v>47238997.76</x:v>
      </x:c>
      <x:c r="F43" s="12" t="n">
        <x:v>48955417.72</x:v>
      </x:c>
      <x:c r="G43" s="12" t="n">
        <x:v>150000000</x:v>
      </x:c>
      <x:c r="H43" s="12" t="n">
        <x:f>E43-F43</x:f>
        <x:v>-1716419.960000001</x:v>
      </x:c>
      <x:c r="I43" s="12" t="n">
        <x:f>E43-D43</x:f>
        <x:v>-2761002.240000002</x:v>
      </x:c>
      <x:c r="J43" s="14" t="n">
        <x:f>IFERROR(E43/F43,0)</x:f>
        <x:v>0.9649391213487943</x:v>
      </x:c>
      <x:c r="K43" s="14" t="n">
        <x:f>IFERROR(E43/D43,0)</x:f>
        <x:v>0.9447799551999999</x:v>
      </x:c>
      <x:c r="L43" s="12" t="n">
        <x:v>155450221.33</x:v>
      </x:c>
      <x:c r="M43" s="12" t="n">
        <x:v>106494803.61</x:v>
      </x:c>
      <x:c r="N43" s="12" t="n">
        <x:f>G43-L43</x:f>
        <x:v>-5450221.330000013</x:v>
      </x:c>
    </x:row>
    <x:row r="44">
      <x:c r="A44" t="str">
        <x:v>PRJ-003</x:v>
      </x:c>
      <x:c r="B44" t="str">
        <x:v>Gamma Pipeline</x:v>
      </x:c>
      <x:c r="C44" s="10" t="n">
        <x:v>45839</x:v>
      </x:c>
      <x:c r="D44" s="12" t="n">
        <x:v>58333333.33</x:v>
      </x:c>
      <x:c r="E44" s="12" t="n">
        <x:v>55188684.57</x:v>
      </x:c>
      <x:c r="F44" s="12" t="n">
        <x:v>59435889.04</x:v>
      </x:c>
      <x:c r="G44" s="12" t="n">
        <x:v>150000000</x:v>
      </x:c>
      <x:c r="H44" s="12" t="n">
        <x:f>E44-F44</x:f>
        <x:v>-4247204.469999999</x:v>
      </x:c>
      <x:c r="I44" s="12" t="n">
        <x:f>E44-D44</x:f>
        <x:v>-3144648.759999998</x:v>
      </x:c>
      <x:c r="J44" s="14" t="n">
        <x:f>IFERROR(E44/F44,0)</x:f>
        <x:v>0.9285414159929255</x:v>
      </x:c>
      <x:c r="K44" s="14" t="n">
        <x:f>IFERROR(E44/D44,0)</x:f>
        <x:v>0.9460917355397767</x:v>
      </x:c>
      <x:c r="L44" s="12" t="n">
        <x:v>161543682.82</x:v>
      </x:c>
      <x:c r="M44" s="12" t="n">
        <x:v>102107793.78</x:v>
      </x:c>
      <x:c r="N44" s="12" t="n">
        <x:f>G44-L44</x:f>
        <x:v>-11543682.819999993</x:v>
      </x:c>
    </x:row>
    <x:row r="45">
      <x:c r="A45" t="str">
        <x:v>PRJ-003</x:v>
      </x:c>
      <x:c r="B45" t="str">
        <x:v>Gamma Pipeline</x:v>
      </x:c>
      <x:c r="C45" s="10" t="n">
        <x:v>45870</x:v>
      </x:c>
      <x:c r="D45" s="12" t="n">
        <x:v>66666666.67</x:v>
      </x:c>
      <x:c r="E45" s="12" t="n">
        <x:v>66257456.79</x:v>
      </x:c>
      <x:c r="F45" s="12" t="n">
        <x:v>70404369.24</x:v>
      </x:c>
      <x:c r="G45" s="12" t="n">
        <x:v>150000000</x:v>
      </x:c>
      <x:c r="H45" s="12" t="n">
        <x:f>E45-F45</x:f>
        <x:v>-4146912.4499999955</x:v>
      </x:c>
      <x:c r="I45" s="12" t="n">
        <x:f>E45-D45</x:f>
        <x:v>-409209.8800000027</x:v>
      </x:c>
      <x:c r="J45" s="14" t="n">
        <x:f>IFERROR(E45/F45,0)</x:f>
        <x:v>0.9410986492065049</x:v>
      </x:c>
      <x:c r="K45" s="14" t="n">
        <x:f>IFERROR(E45/D45,0)</x:f>
        <x:v>0.9938618518003068</x:v>
      </x:c>
      <x:c r="L45" s="12" t="n">
        <x:v>159388179.04</x:v>
      </x:c>
      <x:c r="M45" s="12" t="n">
        <x:v>88983809.8</x:v>
      </x:c>
      <x:c r="N45" s="12" t="n">
        <x:f>G45-L45</x:f>
        <x:v>-9388179.039999992</x:v>
      </x:c>
    </x:row>
    <x:row r="46">
      <x:c r="A46" t="str">
        <x:v>PRJ-003</x:v>
      </x:c>
      <x:c r="B46" t="str">
        <x:v>Gamma Pipeline</x:v>
      </x:c>
      <x:c r="C46" s="10" t="n">
        <x:v>45901</x:v>
      </x:c>
      <x:c r="D46" s="12" t="n">
        <x:v>75000000</x:v>
      </x:c>
      <x:c r="E46" s="12" t="n">
        <x:v>70714742.69</x:v>
      </x:c>
      <x:c r="F46" s="12" t="n">
        <x:v>74939949.46</x:v>
      </x:c>
      <x:c r="G46" s="12" t="n">
        <x:v>150000000</x:v>
      </x:c>
      <x:c r="H46" s="12" t="n">
        <x:f>E46-F46</x:f>
        <x:v>-4225206.769999996</x:v>
      </x:c>
      <x:c r="I46" s="12" t="n">
        <x:f>E46-D46</x:f>
        <x:v>-4285257.310000002</x:v>
      </x:c>
      <x:c r="J46" s="14" t="n">
        <x:f>IFERROR(E46/F46,0)</x:f>
        <x:v>0.9436187667533024</x:v>
      </x:c>
      <x:c r="K46" s="14" t="n">
        <x:f>IFERROR(E46/D46,0)</x:f>
        <x:v>0.9428632358666666</x:v>
      </x:c>
      <x:c r="L46" s="12" t="n">
        <x:v>158962501.89</x:v>
      </x:c>
      <x:c r="M46" s="12" t="n">
        <x:v>84022552.44</x:v>
      </x:c>
      <x:c r="N46" s="12" t="n">
        <x:f>G46-L46</x:f>
        <x:v>-8962501.889999986</x:v>
      </x:c>
    </x:row>
    <x:row r="47">
      <x:c r="A47" t="str">
        <x:v>PRJ-003</x:v>
      </x:c>
      <x:c r="B47" t="str">
        <x:v>Gamma Pipeline</x:v>
      </x:c>
      <x:c r="C47" s="10" t="n">
        <x:v>45931</x:v>
      </x:c>
      <x:c r="D47" s="12" t="n">
        <x:v>83333333.33</x:v>
      </x:c>
      <x:c r="E47" s="12" t="n">
        <x:v>84012066.09</x:v>
      </x:c>
      <x:c r="F47" s="12" t="n">
        <x:v>89899183.62</x:v>
      </x:c>
      <x:c r="G47" s="12" t="n">
        <x:v>150000000</x:v>
      </x:c>
      <x:c r="H47" s="12" t="n">
        <x:f>E47-F47</x:f>
        <x:v>-5887117.530000001</x:v>
      </x:c>
      <x:c r="I47" s="12" t="n">
        <x:f>E47-D47</x:f>
        <x:v>678732.7600000054</x:v>
      </x:c>
      <x:c r="J47" s="14" t="n">
        <x:f>IFERROR(E47/F47,0)</x:f>
        <x:v>0.9345142270158471</x:v>
      </x:c>
      <x:c r="K47" s="14" t="n">
        <x:f>IFERROR(E47/D47,0)</x:f>
        <x:v>1.0081447931203258</x:v>
      </x:c>
      <x:c r="L47" s="12" t="n">
        <x:v>160511200.01</x:v>
      </x:c>
      <x:c r="M47" s="12" t="n">
        <x:v>70612016.39</x:v>
      </x:c>
      <x:c r="N47" s="12" t="n">
        <x:f>G47-L47</x:f>
        <x:v>-10511200.00999999</x:v>
      </x:c>
    </x:row>
    <x:row r="48">
      <x:c r="A48" t="str">
        <x:v>PRJ-003</x:v>
      </x:c>
      <x:c r="B48" t="str">
        <x:v>Gamma Pipeline</x:v>
      </x:c>
      <x:c r="C48" s="10" t="n">
        <x:v>45962</x:v>
      </x:c>
      <x:c r="D48" s="12" t="n">
        <x:v>91666666.67</x:v>
      </x:c>
      <x:c r="E48" s="12" t="n">
        <x:v>92252580.09</x:v>
      </x:c>
      <x:c r="F48" s="12" t="n">
        <x:v>100858937.84</x:v>
      </x:c>
      <x:c r="G48" s="12" t="n">
        <x:v>150000000</x:v>
      </x:c>
      <x:c r="H48" s="12" t="n">
        <x:f>E48-F48</x:f>
        <x:v>-8606357.75</x:v>
      </x:c>
      <x:c r="I48" s="12" t="n">
        <x:f>E48-D48</x:f>
        <x:v>585913.4200000018</x:v>
      </x:c>
      <x:c r="J48" s="14" t="n">
        <x:f>IFERROR(E48/F48,0)</x:f>
        <x:v>0.9146693596590031</x:v>
      </x:c>
      <x:c r="K48" s="14" t="n">
        <x:f>IFERROR(E48/D48,0)</x:f>
        <x:v>1.006391782763404</x:v>
      </x:c>
      <x:c r="L48" s="12" t="n">
        <x:v>163993686.26</x:v>
      </x:c>
      <x:c r="M48" s="12" t="n">
        <x:v>63134748.41</x:v>
      </x:c>
      <x:c r="N48" s="12" t="n">
        <x:f>G48-L48</x:f>
        <x:v>-13993686.25999999</x:v>
      </x:c>
    </x:row>
    <x:row r="49">
      <x:c r="A49" t="str">
        <x:v>PRJ-003</x:v>
      </x:c>
      <x:c r="B49" t="str">
        <x:v>Gamma Pipeline</x:v>
      </x:c>
      <x:c r="C49" s="10" t="n">
        <x:v>45992</x:v>
      </x:c>
      <x:c r="D49" s="12" t="n">
        <x:v>100000000</x:v>
      </x:c>
      <x:c r="E49" s="12" t="n">
        <x:v>93921996.79</x:v>
      </x:c>
      <x:c r="F49" s="12" t="n">
        <x:v>101763280.38</x:v>
      </x:c>
      <x:c r="G49" s="12" t="n">
        <x:v>150000000</x:v>
      </x:c>
      <x:c r="H49" s="12" t="n">
        <x:f>E49-F49</x:f>
        <x:v>-7841283.589999989</x:v>
      </x:c>
      <x:c r="I49" s="12" t="n">
        <x:f>E49-D49</x:f>
        <x:v>-6078003.209999993</x:v>
      </x:c>
      <x:c r="J49" s="14" t="n">
        <x:f>IFERROR(E49/F49,0)</x:f>
        <x:v>0.9229458448988731</x:v>
      </x:c>
      <x:c r="K49" s="14" t="n">
        <x:f>IFERROR(E49/D49,0)</x:f>
        <x:v>0.9392199679000001</x:v>
      </x:c>
      <x:c r="L49" s="12" t="n">
        <x:v>162523078.49</x:v>
      </x:c>
      <x:c r="M49" s="12" t="n">
        <x:v>60759798.11</x:v>
      </x:c>
      <x:c r="N49" s="12" t="n">
        <x:f>G49-L49</x:f>
        <x:v>-12523078.49000001</x:v>
      </x:c>
    </x:row>
    <x:row r="50">
      <x:c r="A50" t="str">
        <x:v>PRJ-003</x:v>
      </x:c>
      <x:c r="B50" t="str">
        <x:v>Gamma Pipeline</x:v>
      </x:c>
      <x:c r="C50" s="10" t="n">
        <x:v>46023</x:v>
      </x:c>
      <x:c r="D50" s="12" t="n">
        <x:v>108333333.33</x:v>
      </x:c>
      <x:c r="E50" s="12" t="n">
        <x:v>106831402.41</x:v>
      </x:c>
      <x:c r="F50" s="12" t="n">
        <x:v>114376325.94</x:v>
      </x:c>
      <x:c r="G50" s="12" t="n">
        <x:v>150000000</x:v>
      </x:c>
      <x:c r="H50" s="12" t="n">
        <x:f>E50-F50</x:f>
        <x:v>-7544923.530000001</x:v>
      </x:c>
      <x:c r="I50" s="12" t="n">
        <x:f>E50-D50</x:f>
        <x:v>-1501930.9200000018</x:v>
      </x:c>
      <x:c r="J50" s="14" t="n">
        <x:f>IFERROR(E50/F50,0)</x:f>
        <x:v>0.9340342202112879</x:v>
      </x:c>
      <x:c r="K50" s="14" t="n">
        <x:f>IFERROR(E50/D50,0)</x:f>
        <x:v>0.9861360222764964</x:v>
      </x:c>
      <x:c r="L50" s="12" t="n">
        <x:v>160593687.85</x:v>
      </x:c>
      <x:c r="M50" s="12" t="n">
        <x:v>46217361.91</x:v>
      </x:c>
      <x:c r="N50" s="12" t="n">
        <x:f>G50-L50</x:f>
        <x:v>-10593687.849999994</x:v>
      </x:c>
    </x:row>
    <x:row r="51">
      <x:c r="A51" t="str">
        <x:v>PRJ-003</x:v>
      </x:c>
      <x:c r="B51" t="str">
        <x:v>Gamma Pipeline</x:v>
      </x:c>
      <x:c r="C51" s="10" t="n">
        <x:v>46054</x:v>
      </x:c>
      <x:c r="D51" s="12" t="n">
        <x:v>116666666.67</x:v>
      </x:c>
      <x:c r="E51" s="12" t="n">
        <x:v>111660973.63</x:v>
      </x:c>
      <x:c r="F51" s="12" t="n">
        <x:v>120359808.83</x:v>
      </x:c>
      <x:c r="G51" s="12" t="n">
        <x:v>150000000</x:v>
      </x:c>
      <x:c r="H51" s="12" t="n">
        <x:f>E51-F51</x:f>
        <x:v>-8698835.200000003</x:v>
      </x:c>
      <x:c r="I51" s="12" t="n">
        <x:f>E51-D51</x:f>
        <x:v>-5005693.040000007</x:v>
      </x:c>
      <x:c r="J51" s="14" t="n">
        <x:f>IFERROR(E51/F51,0)</x:f>
        <x:v>0.9277264122919427</x:v>
      </x:c>
      <x:c r="K51" s="14" t="n">
        <x:f>IFERROR(E51/D51,0)</x:f>
        <x:v>0.9570940596583687</x:v>
      </x:c>
      <x:c r="L51" s="12" t="n">
        <x:v>161685598.27</x:v>
      </x:c>
      <x:c r="M51" s="12" t="n">
        <x:v>41325789.43</x:v>
      </x:c>
      <x:c r="N51" s="12" t="n">
        <x:f>G51-L51</x:f>
        <x:v>-11685598.27000001</x:v>
      </x:c>
    </x:row>
    <x:row r="52">
      <x:c r="A52" t="str">
        <x:v>PRJ-003</x:v>
      </x:c>
      <x:c r="B52" t="str">
        <x:v>Gamma Pipeline</x:v>
      </x:c>
      <x:c r="C52" s="10" t="n">
        <x:v>46082</x:v>
      </x:c>
      <x:c r="D52" s="12" t="n">
        <x:v>125000000</x:v>
      </x:c>
      <x:c r="E52" s="12" t="n">
        <x:v>118278118.57</x:v>
      </x:c>
      <x:c r="F52" s="12" t="n">
        <x:v>125785257.97</x:v>
      </x:c>
      <x:c r="G52" s="12" t="n">
        <x:v>150000000</x:v>
      </x:c>
      <x:c r="H52" s="12" t="n">
        <x:f>E52-F52</x:f>
        <x:v>-7507139.400000006</x:v>
      </x:c>
      <x:c r="I52" s="12" t="n">
        <x:f>E52-D52</x:f>
        <x:v>-6721881.430000007</x:v>
      </x:c>
      <x:c r="J52" s="14" t="n">
        <x:f>IFERROR(E52/F52,0)</x:f>
        <x:v>0.9403178121096634</x:v>
      </x:c>
      <x:c r="K52" s="14" t="n">
        <x:f>IFERROR(E52/D52,0)</x:f>
        <x:v>0.94622494856</x:v>
      </x:c>
      <x:c r="L52" s="12" t="n">
        <x:v>159520534.52</x:v>
      </x:c>
      <x:c r="M52" s="12" t="n">
        <x:v>33735276.54</x:v>
      </x:c>
      <x:c r="N52" s="12" t="n">
        <x:f>G52-L52</x:f>
        <x:v>-9520534.52000001</x:v>
      </x:c>
    </x:row>
    <x:row r="53">
      <x:c r="A53" t="str">
        <x:v>PRJ-003</x:v>
      </x:c>
      <x:c r="B53" t="str">
        <x:v>Gamma Pipeline</x:v>
      </x:c>
      <x:c r="C53" s="10" t="n">
        <x:v>46113</x:v>
      </x:c>
      <x:c r="D53" s="12" t="n">
        <x:v>133333333.33</x:v>
      </x:c>
      <x:c r="E53" s="12" t="n">
        <x:v>129356927.45</x:v>
      </x:c>
      <x:c r="F53" s="12" t="n">
        <x:v>142267237.45</x:v>
      </x:c>
      <x:c r="G53" s="12" t="n">
        <x:v>150000000</x:v>
      </x:c>
      <x:c r="H53" s="12" t="n">
        <x:f>E53-F53</x:f>
        <x:v>-12910309.999999985</x:v>
      </x:c>
      <x:c r="I53" s="12" t="n">
        <x:f>E53-D53</x:f>
        <x:v>-3976405.879999995</x:v>
      </x:c>
      <x:c r="J53" s="14" t="n">
        <x:f>IFERROR(E53/F53,0)</x:f>
        <x:v>0.9092531054134138</x:v>
      </x:c>
      <x:c r="K53" s="14" t="n">
        <x:f>IFERROR(E53/D53,0)</x:f>
        <x:v>0.9701769558992545</x:v>
      </x:c>
      <x:c r="L53" s="12" t="n">
        <x:v>164970566.62</x:v>
      </x:c>
      <x:c r="M53" s="12" t="n">
        <x:v>22703329.17</x:v>
      </x:c>
      <x:c r="N53" s="12" t="n">
        <x:f>G53-L53</x:f>
        <x:v>-14970566.620000005</x:v>
      </x:c>
    </x:row>
    <x:row r="54">
      <x:c r="A54" t="str">
        <x:v>PRJ-003</x:v>
      </x:c>
      <x:c r="B54" t="str">
        <x:v>Gamma Pipeline</x:v>
      </x:c>
      <x:c r="C54" s="10" t="n">
        <x:v>46143</x:v>
      </x:c>
      <x:c r="D54" s="12" t="n">
        <x:v>141666666.67</x:v>
      </x:c>
      <x:c r="E54" s="12" t="n">
        <x:v>141627850.32</x:v>
      </x:c>
      <x:c r="F54" s="12" t="n">
        <x:v>148917987.57</x:v>
      </x:c>
      <x:c r="G54" s="12" t="n">
        <x:v>150000000</x:v>
      </x:c>
      <x:c r="H54" s="12" t="n">
        <x:f>E54-F54</x:f>
        <x:v>-7290137.25</x:v>
      </x:c>
      <x:c r="I54" s="12" t="n">
        <x:f>E54-D54</x:f>
        <x:v>-38816.34999999404</x:v>
      </x:c>
      <x:c r="J54" s="14" t="n">
        <x:f>IFERROR(E54/F54,0)</x:f>
        <x:v>0.9510459591285222</x:v>
      </x:c>
      <x:c r="K54" s="14" t="n">
        <x:f>IFERROR(E54/D54,0)</x:f>
        <x:v>0.9997260022353006</x:v>
      </x:c>
      <x:c r="L54" s="12" t="n">
        <x:v>157721084.42</x:v>
      </x:c>
      <x:c r="M54" s="12" t="n">
        <x:v>8803096.85</x:v>
      </x:c>
      <x:c r="N54" s="12" t="n">
        <x:f>G54-L54</x:f>
        <x:v>-7721084.419999987</x:v>
      </x:c>
    </x:row>
    <x:row r="55">
      <x:c r="A55" t="str">
        <x:v>PRJ-003</x:v>
      </x:c>
      <x:c r="B55" t="str">
        <x:v>Gamma Pipeline</x:v>
      </x:c>
      <x:c r="C55" s="10" t="n">
        <x:v>46174</x:v>
      </x:c>
      <x:c r="D55" s="12" t="n">
        <x:v>150000000</x:v>
      </x:c>
      <x:c r="E55" s="12" t="n">
        <x:v>146018598.65</x:v>
      </x:c>
      <x:c r="F55" s="12" t="n">
        <x:v>152668620.63</x:v>
      </x:c>
      <x:c r="G55" s="12" t="n">
        <x:v>150000000</x:v>
      </x:c>
      <x:c r="H55" s="12" t="n">
        <x:f>E55-F55</x:f>
        <x:v>-6650021.979999989</x:v>
      </x:c>
      <x:c r="I55" s="12" t="n">
        <x:f>E55-D55</x:f>
        <x:v>-3981401.349999994</x:v>
      </x:c>
      <x:c r="J55" s="14" t="n">
        <x:f>IFERROR(E55/F55,0)</x:f>
        <x:v>0.9564414615619234</x:v>
      </x:c>
      <x:c r="K55" s="14" t="n">
        <x:f>IFERROR(E55/D55,0)</x:f>
        <x:v>0.9734573243333333</x:v>
      </x:c>
      <x:c r="L55" s="12" t="n">
        <x:v>156831344.13</x:v>
      </x:c>
      <x:c r="M55" s="12" t="n">
        <x:v>4162723.5</x:v>
      </x:c>
      <x:c r="N55" s="12" t="n">
        <x:f>G55-L55</x:f>
        <x:v>-6831344.129999995</x:v>
      </x:c>
    </x:row>
    <x:row r="56">
      <x:c r="A56" t="str">
        <x:v>PRJ-004</x:v>
      </x:c>
      <x:c r="B56" t="str">
        <x:v>Delta Refinery Upgrade</x:v>
      </x:c>
      <x:c r="C56" s="10" t="n">
        <x:v>45658</x:v>
      </x:c>
      <x:c r="D56" s="12" t="n">
        <x:v>4444444.44</x:v>
      </x:c>
      <x:c r="E56" s="12" t="n">
        <x:v>4556329.36</x:v>
      </x:c>
      <x:c r="F56" s="12" t="n">
        <x:v>4909419.2</x:v>
      </x:c>
      <x:c r="G56" s="12" t="n">
        <x:v>80000000</x:v>
      </x:c>
      <x:c r="H56" s="12" t="n">
        <x:f>E56-F56</x:f>
        <x:v>-353089.83999999985</x:v>
      </x:c>
      <x:c r="I56" s="12" t="n">
        <x:f>E56-D56</x:f>
        <x:v>111884.91999999993</x:v>
      </x:c>
      <x:c r="J56" s="14" t="n">
        <x:f>IFERROR(E56/F56,0)</x:f>
        <x:v>0.928079101495346</x:v>
      </x:c>
      <x:c r="K56" s="14" t="n">
        <x:f>IFERROR(E56/D56,0)</x:f>
        <x:v>1.025174107025174</x:v>
      </x:c>
      <x:c r="L56" s="12" t="n">
        <x:v>86199548.97</x:v>
      </x:c>
      <x:c r="M56" s="12" t="n">
        <x:v>81290129.77</x:v>
      </x:c>
      <x:c r="N56" s="12" t="n">
        <x:f>G56-L56</x:f>
        <x:v>-6199548.969999999</x:v>
      </x:c>
    </x:row>
    <x:row r="57">
      <x:c r="A57" t="str">
        <x:v>PRJ-004</x:v>
      </x:c>
      <x:c r="B57" t="str">
        <x:v>Delta Refinery Upgrade</x:v>
      </x:c>
      <x:c r="C57" s="10" t="n">
        <x:v>45689</x:v>
      </x:c>
      <x:c r="D57" s="12" t="n">
        <x:v>8888888.89</x:v>
      </x:c>
      <x:c r="E57" s="12" t="n">
        <x:v>9305874.54</x:v>
      </x:c>
      <x:c r="F57" s="12" t="n">
        <x:v>9710369.7</x:v>
      </x:c>
      <x:c r="G57" s="12" t="n">
        <x:v>80000000</x:v>
      </x:c>
      <x:c r="H57" s="12" t="n">
        <x:f>E57-F57</x:f>
        <x:v>-404495.16000000015</x:v>
      </x:c>
      <x:c r="I57" s="12" t="n">
        <x:f>E57-D57</x:f>
        <x:v>416985.6499999985</x:v>
      </x:c>
      <x:c r="J57" s="14" t="n">
        <x:f>IFERROR(E57/F57,0)</x:f>
        <x:v>0.9583440000229857</x:v>
      </x:c>
      <x:c r="K57" s="14" t="n">
        <x:f>IFERROR(E57/D57,0)</x:f>
        <x:v>1.046910885619136</x:v>
      </x:c>
      <x:c r="L57" s="12" t="n">
        <x:v>83477331.7</x:v>
      </x:c>
      <x:c r="M57" s="12" t="n">
        <x:v>73766962.01</x:v>
      </x:c>
      <x:c r="N57" s="12" t="n">
        <x:f>G57-L57</x:f>
        <x:v>-3477331.700000003</x:v>
      </x:c>
    </x:row>
    <x:row r="58">
      <x:c r="A58" t="str">
        <x:v>PRJ-004</x:v>
      </x:c>
      <x:c r="B58" t="str">
        <x:v>Delta Refinery Upgrade</x:v>
      </x:c>
      <x:c r="C58" s="10" t="n">
        <x:v>45717</x:v>
      </x:c>
      <x:c r="D58" s="12" t="n">
        <x:v>13333333.33</x:v>
      </x:c>
      <x:c r="E58" s="12" t="n">
        <x:v>14102116.36</x:v>
      </x:c>
      <x:c r="F58" s="12" t="n">
        <x:v>15096660.08</x:v>
      </x:c>
      <x:c r="G58" s="12" t="n">
        <x:v>80000000</x:v>
      </x:c>
      <x:c r="H58" s="12" t="n">
        <x:f>E58-F58</x:f>
        <x:v>-994543.7200000007</x:v>
      </x:c>
      <x:c r="I58" s="12" t="n">
        <x:f>E58-D58</x:f>
        <x:v>768783.0299999993</x:v>
      </x:c>
      <x:c r="J58" s="14" t="n">
        <x:f>IFERROR(E58/F58,0)</x:f>
        <x:v>0.9341216060552646</x:v>
      </x:c>
      <x:c r="K58" s="14" t="n">
        <x:f>IFERROR(E58/D58,0)</x:f>
        <x:v>1.0576587272644147</x:v>
      </x:c>
      <x:c r="L58" s="12" t="n">
        <x:v>85641954.37</x:v>
      </x:c>
      <x:c r="M58" s="12" t="n">
        <x:v>70545294.29</x:v>
      </x:c>
      <x:c r="N58" s="12" t="n">
        <x:f>G58-L58</x:f>
        <x:v>-5641954.370000005</x:v>
      </x:c>
    </x:row>
    <x:row r="59">
      <x:c r="A59" t="str">
        <x:v>PRJ-004</x:v>
      </x:c>
      <x:c r="B59" t="str">
        <x:v>Delta Refinery Upgrade</x:v>
      </x:c>
      <x:c r="C59" s="10" t="n">
        <x:v>45748</x:v>
      </x:c>
      <x:c r="D59" s="12" t="n">
        <x:v>17777777.78</x:v>
      </x:c>
      <x:c r="E59" s="12" t="n">
        <x:v>18822876.88</x:v>
      </x:c>
      <x:c r="F59" s="12" t="n">
        <x:v>20138457.72</x:v>
      </x:c>
      <x:c r="G59" s="12" t="n">
        <x:v>80000000</x:v>
      </x:c>
      <x:c r="H59" s="12" t="n">
        <x:f>E59-F59</x:f>
        <x:v>-1315580.8399999999</x:v>
      </x:c>
      <x:c r="I59" s="12" t="n">
        <x:f>E59-D59</x:f>
        <x:v>1045099.0999999978</x:v>
      </x:c>
      <x:c r="J59" s="14" t="n">
        <x:f>IFERROR(E59/F59,0)</x:f>
        <x:v>0.9346732079342172</x:v>
      </x:c>
      <x:c r="K59" s="14" t="n">
        <x:f>IFERROR(E59/D59,0)</x:f>
        <x:v>1.0587868243676515</x:v>
      </x:c>
      <x:c r="L59" s="12" t="n">
        <x:v>85591412.36</x:v>
      </x:c>
      <x:c r="M59" s="12" t="n">
        <x:v>65452954.65</x:v>
      </x:c>
      <x:c r="N59" s="12" t="n">
        <x:f>G59-L59</x:f>
        <x:v>-5591412.359999999</x:v>
      </x:c>
    </x:row>
    <x:row r="60">
      <x:c r="A60" t="str">
        <x:v>PRJ-004</x:v>
      </x:c>
      <x:c r="B60" t="str">
        <x:v>Delta Refinery Upgrade</x:v>
      </x:c>
      <x:c r="C60" s="10" t="n">
        <x:v>45778</x:v>
      </x:c>
      <x:c r="D60" s="12" t="n">
        <x:v>22222222.22</x:v>
      </x:c>
      <x:c r="E60" s="12" t="n">
        <x:v>22318288.98</x:v>
      </x:c>
      <x:c r="F60" s="12" t="n">
        <x:v>23556034.98</x:v>
      </x:c>
      <x:c r="G60" s="12" t="n">
        <x:v>80000000</x:v>
      </x:c>
      <x:c r="H60" s="12" t="n">
        <x:f>E60-F60</x:f>
        <x:v>-1237746</x:v>
      </x:c>
      <x:c r="I60" s="12" t="n">
        <x:f>E60-D60</x:f>
        <x:v>96066.76000000164</x:v>
      </x:c>
      <x:c r="J60" s="14" t="n">
        <x:f>IFERROR(E60/F60,0)</x:f>
        <x:v>0.9474552486846409</x:v>
      </x:c>
      <x:c r="K60" s="14" t="n">
        <x:f>IFERROR(E60/D60,0)</x:f>
        <x:v>1.0043230042004323</x:v>
      </x:c>
      <x:c r="L60" s="12" t="n">
        <x:v>84436705.72</x:v>
      </x:c>
      <x:c r="M60" s="12" t="n">
        <x:v>60880670.74</x:v>
      </x:c>
      <x:c r="N60" s="12" t="n">
        <x:f>G60-L60</x:f>
        <x:v>-4436705.719999999</x:v>
      </x:c>
    </x:row>
    <x:row r="61">
      <x:c r="A61" t="str">
        <x:v>PRJ-004</x:v>
      </x:c>
      <x:c r="B61" t="str">
        <x:v>Delta Refinery Upgrade</x:v>
      </x:c>
      <x:c r="C61" s="10" t="n">
        <x:v>45809</x:v>
      </x:c>
      <x:c r="D61" s="12" t="n">
        <x:v>26666666.67</x:v>
      </x:c>
      <x:c r="E61" s="12" t="n">
        <x:v>26817235.82</x:v>
      </x:c>
      <x:c r="F61" s="12" t="n">
        <x:v>29440090.22</x:v>
      </x:c>
      <x:c r="G61" s="12" t="n">
        <x:v>80000000</x:v>
      </x:c>
      <x:c r="H61" s="12" t="n">
        <x:f>E61-F61</x:f>
        <x:v>-2622854.3999999985</x:v>
      </x:c>
      <x:c r="I61" s="12" t="n">
        <x:f>E61-D61</x:f>
        <x:v>150569.1499999985</x:v>
      </x:c>
      <x:c r="J61" s="14" t="n">
        <x:f>IFERROR(E61/F61,0)</x:f>
        <x:v>0.9109087512843906</x:v>
      </x:c>
      <x:c r="K61" s="14" t="n">
        <x:f>IFERROR(E61/D61,0)</x:f>
        <x:v>1.0056463431242941</x:v>
      </x:c>
      <x:c r="L61" s="12" t="n">
        <x:v>87824384.05</x:v>
      </x:c>
      <x:c r="M61" s="12" t="n">
        <x:v>58384293.83</x:v>
      </x:c>
      <x:c r="N61" s="12" t="n">
        <x:f>G61-L61</x:f>
        <x:v>-7824384.049999997</x:v>
      </x:c>
    </x:row>
    <x:row r="62">
      <x:c r="A62" t="str">
        <x:v>PRJ-004</x:v>
      </x:c>
      <x:c r="B62" t="str">
        <x:v>Delta Refinery Upgrade</x:v>
      </x:c>
      <x:c r="C62" s="10" t="n">
        <x:v>45839</x:v>
      </x:c>
      <x:c r="D62" s="12" t="n">
        <x:v>31111111.11</x:v>
      </x:c>
      <x:c r="E62" s="12" t="n">
        <x:v>33158020.08</x:v>
      </x:c>
      <x:c r="F62" s="12" t="n">
        <x:v>36174885.45</x:v>
      </x:c>
      <x:c r="G62" s="12" t="n">
        <x:v>80000000</x:v>
      </x:c>
      <x:c r="H62" s="12" t="n">
        <x:f>E62-F62</x:f>
        <x:v>-3016865.370000005</x:v>
      </x:c>
      <x:c r="I62" s="12" t="n">
        <x:f>E62-D62</x:f>
        <x:v>2046908.9699999988</x:v>
      </x:c>
      <x:c r="J62" s="14" t="n">
        <x:f>IFERROR(E62/F62,0)</x:f>
        <x:v>0.9166033193340767</x:v>
      </x:c>
      <x:c r="K62" s="14" t="n">
        <x:f>IFERROR(E62/D62,0)</x:f>
        <x:v>1.0657935026094927</x:v>
      </x:c>
      <x:c r="L62" s="12" t="n">
        <x:v>87278758.77</x:v>
      </x:c>
      <x:c r="M62" s="12" t="n">
        <x:v>51103873.32</x:v>
      </x:c>
      <x:c r="N62" s="12" t="n">
        <x:f>G62-L62</x:f>
        <x:v>-7278758.769999996</x:v>
      </x:c>
    </x:row>
    <x:row r="63">
      <x:c r="A63" t="str">
        <x:v>PRJ-004</x:v>
      </x:c>
      <x:c r="B63" t="str">
        <x:v>Delta Refinery Upgrade</x:v>
      </x:c>
      <x:c r="C63" s="10" t="n">
        <x:v>45870</x:v>
      </x:c>
      <x:c r="D63" s="12" t="n">
        <x:v>35555555.56</x:v>
      </x:c>
      <x:c r="E63" s="12" t="n">
        <x:v>36473207.46</x:v>
      </x:c>
      <x:c r="F63" s="12" t="n">
        <x:v>37816247.95</x:v>
      </x:c>
      <x:c r="G63" s="12" t="n">
        <x:v>80000000</x:v>
      </x:c>
      <x:c r="H63" s="12" t="n">
        <x:f>E63-F63</x:f>
        <x:v>-1343040.490000002</x:v>
      </x:c>
      <x:c r="I63" s="12" t="n">
        <x:f>E63-D63</x:f>
        <x:v>917651.8999999985</x:v>
      </x:c>
      <x:c r="J63" s="14" t="n">
        <x:f>IFERROR(E63/F63,0)</x:f>
        <x:v>0.9644850940321804</x:v>
      </x:c>
      <x:c r="K63" s="14" t="n">
        <x:f>IFERROR(E63/D63,0)</x:f>
        <x:v>1.0258089596842739</x:v>
      </x:c>
      <x:c r="L63" s="12" t="n">
        <x:v>82945812.73</x:v>
      </x:c>
      <x:c r="M63" s="12" t="n">
        <x:v>45129564.78</x:v>
      </x:c>
      <x:c r="N63" s="12" t="n">
        <x:f>G63-L63</x:f>
        <x:v>-2945812.730000004</x:v>
      </x:c>
    </x:row>
    <x:row r="64">
      <x:c r="A64" t="str">
        <x:v>PRJ-004</x:v>
      </x:c>
      <x:c r="B64" t="str">
        <x:v>Delta Refinery Upgrade</x:v>
      </x:c>
      <x:c r="C64" s="10" t="n">
        <x:v>45901</x:v>
      </x:c>
      <x:c r="D64" s="12" t="n">
        <x:v>40000000</x:v>
      </x:c>
      <x:c r="E64" s="12" t="n">
        <x:v>42629745.72</x:v>
      </x:c>
      <x:c r="F64" s="12" t="n">
        <x:v>46852407.85</x:v>
      </x:c>
      <x:c r="G64" s="12" t="n">
        <x:v>80000000</x:v>
      </x:c>
      <x:c r="H64" s="12" t="n">
        <x:f>E64-F64</x:f>
        <x:v>-4222662.130000003</x:v>
      </x:c>
      <x:c r="I64" s="12" t="n">
        <x:f>E64-D64</x:f>
        <x:v>2629745.719999999</x:v>
      </x:c>
      <x:c r="J64" s="14" t="n">
        <x:f>IFERROR(E64/F64,0)</x:f>
        <x:v>0.9098731031387108</x:v>
      </x:c>
      <x:c r="K64" s="14" t="n">
        <x:f>IFERROR(E64/D64,0)</x:f>
        <x:v>1.065743643</x:v>
      </x:c>
      <x:c r="L64" s="12" t="n">
        <x:v>87924348.69</x:v>
      </x:c>
      <x:c r="M64" s="12" t="n">
        <x:v>41071940.85</x:v>
      </x:c>
      <x:c r="N64" s="12" t="n">
        <x:f>G64-L64</x:f>
        <x:v>-7924348.689999998</x:v>
      </x:c>
    </x:row>
    <x:row r="65">
      <x:c r="A65" t="str">
        <x:v>PRJ-004</x:v>
      </x:c>
      <x:c r="B65" t="str">
        <x:v>Delta Refinery Upgrade</x:v>
      </x:c>
      <x:c r="C65" s="10" t="n">
        <x:v>45931</x:v>
      </x:c>
      <x:c r="D65" s="12" t="n">
        <x:v>44444444.44</x:v>
      </x:c>
      <x:c r="E65" s="12" t="n">
        <x:v>44901276.13</x:v>
      </x:c>
      <x:c r="F65" s="12" t="n">
        <x:v>47900107.98</x:v>
      </x:c>
      <x:c r="G65" s="12" t="n">
        <x:v>80000000</x:v>
      </x:c>
      <x:c r="H65" s="12" t="n">
        <x:f>E65-F65</x:f>
        <x:v>-2998831.849999994</x:v>
      </x:c>
      <x:c r="I65" s="12" t="n">
        <x:f>E65-D65</x:f>
        <x:v>456831.69000000507</x:v>
      </x:c>
      <x:c r="J65" s="14" t="n">
        <x:f>IFERROR(E65/F65,0)</x:f>
        <x:v>0.9373940482294505</x:v>
      </x:c>
      <x:c r="K65" s="14" t="n">
        <x:f>IFERROR(E65/D65,0)</x:f>
        <x:v>1.010278713026028</x:v>
      </x:c>
      <x:c r="L65" s="12" t="n">
        <x:v>85342978.4</x:v>
      </x:c>
      <x:c r="M65" s="12" t="n">
        <x:v>37442870.42</x:v>
      </x:c>
      <x:c r="N65" s="12" t="n">
        <x:f>G65-L65</x:f>
        <x:v>-5342978.400000006</x:v>
      </x:c>
    </x:row>
    <x:row r="66">
      <x:c r="A66" t="str">
        <x:v>PRJ-004</x:v>
      </x:c>
      <x:c r="B66" t="str">
        <x:v>Delta Refinery Upgrade</x:v>
      </x:c>
      <x:c r="C66" s="10" t="n">
        <x:v>45962</x:v>
      </x:c>
      <x:c r="D66" s="12" t="n">
        <x:v>48888888.89</x:v>
      </x:c>
      <x:c r="E66" s="12" t="n">
        <x:v>49335139.21</x:v>
      </x:c>
      <x:c r="F66" s="12" t="n">
        <x:v>53578456.95</x:v>
      </x:c>
      <x:c r="G66" s="12" t="n">
        <x:v>80000000</x:v>
      </x:c>
      <x:c r="H66" s="12" t="n">
        <x:f>E66-F66</x:f>
        <x:v>-4243317.740000002</x:v>
      </x:c>
      <x:c r="I66" s="12" t="n">
        <x:f>E66-D66</x:f>
        <x:v>446250.3200000003</x:v>
      </x:c>
      <x:c r="J66" s="14" t="n">
        <x:f>IFERROR(E66/F66,0)</x:f>
        <x:v>0.92080179270635</x:v>
      </x:c>
      <x:c r="K66" s="14" t="n">
        <x:f>IFERROR(E66/D66,0)</x:f>
        <x:v>1.009127847454338</x:v>
      </x:c>
      <x:c r="L66" s="12" t="n">
        <x:v>86880803.93</x:v>
      </x:c>
      <x:c r="M66" s="12" t="n">
        <x:v>33302346.97</x:v>
      </x:c>
      <x:c r="N66" s="12" t="n">
        <x:f>G66-L66</x:f>
        <x:v>-6880803.930000007</x:v>
      </x:c>
    </x:row>
    <x:row r="67">
      <x:c r="A67" t="str">
        <x:v>PRJ-004</x:v>
      </x:c>
      <x:c r="B67" t="str">
        <x:v>Delta Refinery Upgrade</x:v>
      </x:c>
      <x:c r="C67" s="10" t="n">
        <x:v>45992</x:v>
      </x:c>
      <x:c r="D67" s="12" t="n">
        <x:v>53333333.33</x:v>
      </x:c>
      <x:c r="E67" s="12" t="n">
        <x:v>56420873.67</x:v>
      </x:c>
      <x:c r="F67" s="12" t="n">
        <x:v>58776744.17</x:v>
      </x:c>
      <x:c r="G67" s="12" t="n">
        <x:v>80000000</x:v>
      </x:c>
      <x:c r="H67" s="12" t="n">
        <x:f>E67-F67</x:f>
        <x:v>-2355870.5</x:v>
      </x:c>
      <x:c r="I67" s="12" t="n">
        <x:f>E67-D67</x:f>
        <x:v>3087540.3400000036</x:v>
      </x:c>
      <x:c r="J67" s="14" t="n">
        <x:f>IFERROR(E67/F67,0)</x:f>
        <x:v>0.9599183225735316</x:v>
      </x:c>
      <x:c r="K67" s="14" t="n">
        <x:f>IFERROR(E67/D67,0)</x:f>
        <x:v>1.0578913813786184</x:v>
      </x:c>
      <x:c r="L67" s="12" t="n">
        <x:v>83340424</x:v>
      </x:c>
      <x:c r="M67" s="12" t="n">
        <x:v>24563679.83</x:v>
      </x:c>
      <x:c r="N67" s="12" t="n">
        <x:f>G67-L67</x:f>
        <x:v>-3340424</x:v>
      </x:c>
    </x:row>
    <x:row r="68">
      <x:c r="A68" t="str">
        <x:v>PRJ-004</x:v>
      </x:c>
      <x:c r="B68" t="str">
        <x:v>Delta Refinery Upgrade</x:v>
      </x:c>
      <x:c r="C68" s="10" t="n">
        <x:v>46023</x:v>
      </x:c>
      <x:c r="D68" s="12" t="n">
        <x:v>57777777.78</x:v>
      </x:c>
      <x:c r="E68" s="12" t="n">
        <x:v>59947491.51</x:v>
      </x:c>
      <x:c r="F68" s="12" t="n">
        <x:v>64218999</x:v>
      </x:c>
      <x:c r="G68" s="12" t="n">
        <x:v>80000000</x:v>
      </x:c>
      <x:c r="H68" s="12" t="n">
        <x:f>E68-F68</x:f>
        <x:v>-4271507.490000002</x:v>
      </x:c>
      <x:c r="I68" s="12" t="n">
        <x:f>E68-D68</x:f>
        <x:v>2169713.7299999967</x:v>
      </x:c>
      <x:c r="J68" s="14" t="n">
        <x:f>IFERROR(E68/F68,0)</x:f>
        <x:v>0.9334852994205033</x:v>
      </x:c>
      <x:c r="K68" s="14" t="n">
        <x:f>IFERROR(E68/D68,0)</x:f>
        <x:v>1.037552737633171</x:v>
      </x:c>
      <x:c r="L68" s="12" t="n">
        <x:v>85700331.92</x:v>
      </x:c>
      <x:c r="M68" s="12" t="n">
        <x:v>21481332.92</x:v>
      </x:c>
      <x:c r="N68" s="12" t="n">
        <x:f>G68-L68</x:f>
        <x:v>-5700331.920000002</x:v>
      </x:c>
    </x:row>
    <x:row r="69">
      <x:c r="A69" t="str">
        <x:v>PRJ-004</x:v>
      </x:c>
      <x:c r="B69" t="str">
        <x:v>Delta Refinery Upgrade</x:v>
      </x:c>
      <x:c r="C69" s="10" t="n">
        <x:v>46054</x:v>
      </x:c>
      <x:c r="D69" s="12" t="n">
        <x:v>62222222.22</x:v>
      </x:c>
      <x:c r="E69" s="12" t="n">
        <x:v>63643187.08</x:v>
      </x:c>
      <x:c r="F69" s="12" t="n">
        <x:v>69615349.86</x:v>
      </x:c>
      <x:c r="G69" s="12" t="n">
        <x:v>80000000</x:v>
      </x:c>
      <x:c r="H69" s="12" t="n">
        <x:f>E69-F69</x:f>
        <x:v>-5972162.780000001</x:v>
      </x:c>
      <x:c r="I69" s="12" t="n">
        <x:f>E69-D69</x:f>
        <x:v>1420964.8599999994</x:v>
      </x:c>
      <x:c r="J69" s="14" t="n">
        <x:f>IFERROR(E69/F69,0)</x:f>
        <x:v>0.9142119835350921</x:v>
      </x:c>
      <x:c r="K69" s="14" t="n">
        <x:f>IFERROR(E69/D69,0)</x:f>
        <x:v>1.0228369352508155</x:v>
      </x:c>
      <x:c r="L69" s="12" t="n">
        <x:v>87507056.83</x:v>
      </x:c>
      <x:c r="M69" s="12" t="n">
        <x:v>17891706.97</x:v>
      </x:c>
      <x:c r="N69" s="12" t="n">
        <x:f>G69-L69</x:f>
        <x:v>-7507056.829999998</x:v>
      </x:c>
    </x:row>
    <x:row r="70">
      <x:c r="A70" t="str">
        <x:v>PRJ-004</x:v>
      </x:c>
      <x:c r="B70" t="str">
        <x:v>Delta Refinery Upgrade</x:v>
      </x:c>
      <x:c r="C70" s="10" t="n">
        <x:v>46082</x:v>
      </x:c>
      <x:c r="D70" s="12" t="n">
        <x:v>66666666.67</x:v>
      </x:c>
      <x:c r="E70" s="12" t="n">
        <x:v>68926841.8</x:v>
      </x:c>
      <x:c r="F70" s="12" t="n">
        <x:v>72207330.18</x:v>
      </x:c>
      <x:c r="G70" s="12" t="n">
        <x:v>80000000</x:v>
      </x:c>
      <x:c r="H70" s="12" t="n">
        <x:f>E70-F70</x:f>
        <x:v>-3280488.38000001</x:v>
      </x:c>
      <x:c r="I70" s="12" t="n">
        <x:f>E70-D70</x:f>
        <x:v>2260175.129999995</x:v>
      </x:c>
      <x:c r="J70" s="14" t="n">
        <x:f>IFERROR(E70/F70,0)</x:f>
        <x:v>0.9545684853349052</x:v>
      </x:c>
      <x:c r="K70" s="14" t="n">
        <x:f>IFERROR(E70/D70,0)</x:f>
        <x:v>1.0339026269483047</x:v>
      </x:c>
      <x:c r="L70" s="12" t="n">
        <x:v>83807501.75</x:v>
      </x:c>
      <x:c r="M70" s="12" t="n">
        <x:v>11600171.57</x:v>
      </x:c>
      <x:c r="N70" s="12" t="n">
        <x:f>G70-L70</x:f>
        <x:v>-3807501.75</x:v>
      </x:c>
    </x:row>
    <x:row r="71">
      <x:c r="A71" t="str">
        <x:v>PRJ-004</x:v>
      </x:c>
      <x:c r="B71" t="str">
        <x:v>Delta Refinery Upgrade</x:v>
      </x:c>
      <x:c r="C71" s="10" t="n">
        <x:v>46113</x:v>
      </x:c>
      <x:c r="D71" s="12" t="n">
        <x:v>71111111.11</x:v>
      </x:c>
      <x:c r="E71" s="12" t="n">
        <x:v>74100174.04</x:v>
      </x:c>
      <x:c r="F71" s="12" t="n">
        <x:v>80314442.29</x:v>
      </x:c>
      <x:c r="G71" s="12" t="n">
        <x:v>80000000</x:v>
      </x:c>
      <x:c r="H71" s="12" t="n">
        <x:f>E71-F71</x:f>
        <x:v>-6214268.25</x:v>
      </x:c>
      <x:c r="I71" s="12" t="n">
        <x:f>E71-D71</x:f>
        <x:v>2989062.930000007</x:v>
      </x:c>
      <x:c r="J71" s="14" t="n">
        <x:f>IFERROR(E71/F71,0)</x:f>
        <x:v>0.9226257685067217</x:v>
      </x:c>
      <x:c r="K71" s="14" t="n">
        <x:f>IFERROR(E71/D71,0)</x:f>
        <x:v>1.0420336974537818</x:v>
      </x:c>
      <x:c r="L71" s="12" t="n">
        <x:v>86709045.79</x:v>
      </x:c>
      <x:c r="M71" s="12" t="n">
        <x:v>6394603.5</x:v>
      </x:c>
      <x:c r="N71" s="12" t="n">
        <x:f>G71-L71</x:f>
        <x:v>-6709045.790000007</x:v>
      </x:c>
    </x:row>
    <x:row r="72">
      <x:c r="A72" t="str">
        <x:v>PRJ-004</x:v>
      </x:c>
      <x:c r="B72" t="str">
        <x:v>Delta Refinery Upgrade</x:v>
      </x:c>
      <x:c r="C72" s="10" t="n">
        <x:v>46143</x:v>
      </x:c>
      <x:c r="D72" s="12" t="n">
        <x:v>75555555.56</x:v>
      </x:c>
      <x:c r="E72" s="12" t="n">
        <x:v>76943023.45</x:v>
      </x:c>
      <x:c r="F72" s="12" t="n">
        <x:v>81143192.13</x:v>
      </x:c>
      <x:c r="G72" s="12" t="n">
        <x:v>80000000</x:v>
      </x:c>
      <x:c r="H72" s="12" t="n">
        <x:f>E72-F72</x:f>
        <x:v>-4200168.679999992</x:v>
      </x:c>
      <x:c r="I72" s="12" t="n">
        <x:f>E72-D72</x:f>
        <x:v>1387467.8900000006</x:v>
      </x:c>
      <x:c r="J72" s="14" t="n">
        <x:f>IFERROR(E72/F72,0)</x:f>
        <x:v>0.9482375715109793</x:v>
      </x:c>
      <x:c r="K72" s="14" t="n">
        <x:f>IFERROR(E72/D72,0)</x:f>
        <x:v>1.018363545601861</x:v>
      </x:c>
      <x:c r="L72" s="12" t="n">
        <x:v>84367043.03</x:v>
      </x:c>
      <x:c r="M72" s="12" t="n">
        <x:v>3223850.91</x:v>
      </x:c>
      <x:c r="N72" s="12" t="n">
        <x:f>G72-L72</x:f>
        <x:v>-4367043.030000001</x:v>
      </x:c>
    </x:row>
    <x:row r="73">
      <x:c r="A73" t="str">
        <x:v>PRJ-004</x:v>
      </x:c>
      <x:c r="B73" t="str">
        <x:v>Delta Refinery Upgrade</x:v>
      </x:c>
      <x:c r="C73" s="10" t="n">
        <x:v>46174</x:v>
      </x:c>
      <x:c r="D73" s="12" t="n">
        <x:v>80000000</x:v>
      </x:c>
      <x:c r="E73" s="12" t="n">
        <x:v>80000000</x:v>
      </x:c>
      <x:c r="F73" s="12" t="n">
        <x:v>86260748.92</x:v>
      </x:c>
      <x:c r="G73" s="12" t="n">
        <x:v>80000000</x:v>
      </x:c>
      <x:c r="H73" s="12" t="n">
        <x:f>E73-F73</x:f>
        <x:v>-6260748.920000002</x:v>
      </x:c>
      <x:c r="I73" s="12" t="n">
        <x:f>E73-D73</x:f>
        <x:v>0</x:v>
      </x:c>
      <x:c r="J73" s="14" t="n">
        <x:f>IFERROR(E73/F73,0)</x:f>
        <x:v>0.9274206519374606</x:v>
      </x:c>
      <x:c r="K73" s="14" t="n">
        <x:f>IFERROR(E73/D73,0)</x:f>
        <x:v>1</x:v>
      </x:c>
      <x:c r="L73" s="12" t="n">
        <x:v>86260748.92</x:v>
      </x:c>
      <x:c r="M73" s="12" t="n">
        <x:v>0</x:v>
      </x:c>
      <x:c r="N73" s="12" t="n">
        <x:f>G73-L73</x:f>
        <x:v>-6260748.920000002</x:v>
      </x:c>
    </x:row>
    <x:row r="74">
      <x:c r="A74" t="str">
        <x:v>PRJ-005</x:v>
      </x:c>
      <x:c r="B74" t="str">
        <x:v>Epsilon Utilities</x:v>
      </x:c>
      <x:c r="C74" s="10" t="n">
        <x:v>45658</x:v>
      </x:c>
      <x:c r="D74" s="12" t="n">
        <x:v>6111111.11</x:v>
      </x:c>
      <x:c r="E74" s="12" t="n">
        <x:v>5843948.17</x:v>
      </x:c>
      <x:c r="F74" s="12" t="n">
        <x:v>5739124.25</x:v>
      </x:c>
      <x:c r="G74" s="12" t="n">
        <x:v>110000000</x:v>
      </x:c>
      <x:c r="H74" s="12" t="n">
        <x:f>E74-F74</x:f>
        <x:v>104823.91999999993</x:v>
      </x:c>
      <x:c r="I74" s="12" t="n">
        <x:f>E74-D74</x:f>
        <x:v>-267162.9400000004</x:v>
      </x:c>
      <x:c r="J74" s="14" t="n">
        <x:f>IFERROR(E74/F74,0)</x:f>
        <x:v>1.0182647936224765</x:v>
      </x:c>
      <x:c r="K74" s="14" t="n">
        <x:f>IFERROR(E74/D74,0)</x:f>
        <x:v>0.9562824279920513</x:v>
      </x:c>
      <x:c r="L74" s="12" t="n">
        <x:v>108026910.79</x:v>
      </x:c>
      <x:c r="M74" s="12" t="n">
        <x:v>102287786.53</x:v>
      </x:c>
      <x:c r="N74" s="12" t="n">
        <x:f>G74-L74</x:f>
        <x:v>1973089.2099999934</x:v>
      </x:c>
    </x:row>
    <x:row r="75">
      <x:c r="A75" t="str">
        <x:v>PRJ-005</x:v>
      </x:c>
      <x:c r="B75" t="str">
        <x:v>Epsilon Utilities</x:v>
      </x:c>
      <x:c r="C75" s="10" t="n">
        <x:v>45689</x:v>
      </x:c>
      <x:c r="D75" s="12" t="n">
        <x:v>12222222.22</x:v>
      </x:c>
      <x:c r="E75" s="12" t="n">
        <x:v>11873621.51</x:v>
      </x:c>
      <x:c r="F75" s="12" t="n">
        <x:v>11962859.17</x:v>
      </x:c>
      <x:c r="G75" s="12" t="n">
        <x:v>110000000</x:v>
      </x:c>
      <x:c r="H75" s="12" t="n">
        <x:f>E75-F75</x:f>
        <x:v>-89237.66000000015</x:v>
      </x:c>
      <x:c r="I75" s="12" t="n">
        <x:f>E75-D75</x:f>
        <x:v>-348600.7100000009</x:v>
      </x:c>
      <x:c r="J75" s="14" t="n">
        <x:f>IFERROR(E75/F75,0)</x:f>
        <x:v>0.9925404404806681</x:v>
      </x:c>
      <x:c r="K75" s="14" t="n">
        <x:f>IFERROR(E75/D75,0)</x:f>
        <x:v>0.9714781237220869</x:v>
      </x:c>
      <x:c r="L75" s="12" t="n">
        <x:v>110826718.42</x:v>
      </x:c>
      <x:c r="M75" s="12" t="n">
        <x:v>98863859.26</x:v>
      </x:c>
      <x:c r="N75" s="12" t="n">
        <x:f>G75-L75</x:f>
        <x:v>-826718.4200000018</x:v>
      </x:c>
    </x:row>
    <x:row r="76">
      <x:c r="A76" t="str">
        <x:v>PRJ-005</x:v>
      </x:c>
      <x:c r="B76" t="str">
        <x:v>Epsilon Utilities</x:v>
      </x:c>
      <x:c r="C76" s="10" t="n">
        <x:v>45717</x:v>
      </x:c>
      <x:c r="D76" s="12" t="n">
        <x:v>18333333.33</x:v>
      </x:c>
      <x:c r="E76" s="12" t="n">
        <x:v>17671869.71</x:v>
      </x:c>
      <x:c r="F76" s="12" t="n">
        <x:v>17349344.45</x:v>
      </x:c>
      <x:c r="G76" s="12" t="n">
        <x:v>110000000</x:v>
      </x:c>
      <x:c r="H76" s="12" t="n">
        <x:f>E76-F76</x:f>
        <x:v>322525.26000000164</x:v>
      </x:c>
      <x:c r="I76" s="12" t="n">
        <x:f>E76-D76</x:f>
        <x:v>-661463.6199999973</x:v>
      </x:c>
      <x:c r="J76" s="14" t="n">
        <x:f>IFERROR(E76/F76,0)</x:f>
        <x:v>1.0185900545654336</x:v>
      </x:c>
      <x:c r="K76" s="14" t="n">
        <x:f>IFERROR(E76/D76,0)</x:f>
        <x:v>0.9639201661752583</x:v>
      </x:c>
      <x:c r="L76" s="12" t="n">
        <x:v>107992415.15</x:v>
      </x:c>
      <x:c r="M76" s="12" t="n">
        <x:v>90643070.7</x:v>
      </x:c>
      <x:c r="N76" s="12" t="n">
        <x:f>G76-L76</x:f>
        <x:v>2007584.849999994</x:v>
      </x:c>
    </x:row>
    <x:row r="77">
      <x:c r="A77" t="str">
        <x:v>PRJ-005</x:v>
      </x:c>
      <x:c r="B77" t="str">
        <x:v>Epsilon Utilities</x:v>
      </x:c>
      <x:c r="C77" s="10" t="n">
        <x:v>45748</x:v>
      </x:c>
      <x:c r="D77" s="12" t="n">
        <x:v>24444444.44</x:v>
      </x:c>
      <x:c r="E77" s="12" t="n">
        <x:v>23290218.13</x:v>
      </x:c>
      <x:c r="F77" s="12" t="n">
        <x:v>23535026.7</x:v>
      </x:c>
      <x:c r="G77" s="12" t="n">
        <x:v>110000000</x:v>
      </x:c>
      <x:c r="H77" s="12" t="n">
        <x:f>E77-F77</x:f>
        <x:v>-244808.5700000003</x:v>
      </x:c>
      <x:c r="I77" s="12" t="n">
        <x:f>E77-D77</x:f>
        <x:v>-1154226.3100000024</x:v>
      </x:c>
      <x:c r="J77" s="14" t="n">
        <x:f>IFERROR(E77/F77,0)</x:f>
        <x:v>0.9895981180255045</x:v>
      </x:c>
      <x:c r="K77" s="14" t="n">
        <x:f>IFERROR(E77/D77,0)</x:f>
        <x:v>0.9527816509459602</x:v>
      </x:c>
      <x:c r="L77" s="12" t="n">
        <x:v>111156234.06</x:v>
      </x:c>
      <x:c r="M77" s="12" t="n">
        <x:v>87621207.36</x:v>
      </x:c>
      <x:c r="N77" s="12" t="n">
        <x:f>G77-L77</x:f>
        <x:v>-1156234.0600000024</x:v>
      </x:c>
    </x:row>
    <x:row r="78">
      <x:c r="A78" t="str">
        <x:v>PRJ-005</x:v>
      </x:c>
      <x:c r="B78" t="str">
        <x:v>Epsilon Utilities</x:v>
      </x:c>
      <x:c r="C78" s="10" t="n">
        <x:v>45778</x:v>
      </x:c>
      <x:c r="D78" s="12" t="n">
        <x:v>30555555.56</x:v>
      </x:c>
      <x:c r="E78" s="12" t="n">
        <x:v>29450607.37</x:v>
      </x:c>
      <x:c r="F78" s="12" t="n">
        <x:v>30325685.42</x:v>
      </x:c>
      <x:c r="G78" s="12" t="n">
        <x:v>110000000</x:v>
      </x:c>
      <x:c r="H78" s="12" t="n">
        <x:f>E78-F78</x:f>
        <x:v>-875078.0500000007</x:v>
      </x:c>
      <x:c r="I78" s="12" t="n">
        <x:f>E78-D78</x:f>
        <x:v>-1104948.1899999976</x:v>
      </x:c>
      <x:c r="J78" s="14" t="n">
        <x:f>IFERROR(E78/F78,0)</x:f>
        <x:v>0.9711439976415873</x:v>
      </x:c>
      <x:c r="K78" s="14" t="n">
        <x:f>IFERROR(E78/D78,0)</x:f>
        <x:v>0.9638380592416236</x:v>
      </x:c>
      <x:c r="L78" s="12" t="n">
        <x:v>113268475.39</x:v>
      </x:c>
      <x:c r="M78" s="12" t="n">
        <x:v>82942789.97</x:v>
      </x:c>
      <x:c r="N78" s="12" t="n">
        <x:f>G78-L78</x:f>
        <x:v>-3268475.3900000006</x:v>
      </x:c>
    </x:row>
    <x:row r="79">
      <x:c r="A79" t="str">
        <x:v>PRJ-005</x:v>
      </x:c>
      <x:c r="B79" t="str">
        <x:v>Epsilon Utilities</x:v>
      </x:c>
      <x:c r="C79" s="10" t="n">
        <x:v>45809</x:v>
      </x:c>
      <x:c r="D79" s="12" t="n">
        <x:v>36666666.67</x:v>
      </x:c>
      <x:c r="E79" s="12" t="n">
        <x:v>36959509.13</x:v>
      </x:c>
      <x:c r="F79" s="12" t="n">
        <x:v>35898550.43</x:v>
      </x:c>
      <x:c r="G79" s="12" t="n">
        <x:v>110000000</x:v>
      </x:c>
      <x:c r="H79" s="12" t="n">
        <x:f>E79-F79</x:f>
        <x:v>1060958.700000003</x:v>
      </x:c>
      <x:c r="I79" s="12" t="n">
        <x:f>E79-D79</x:f>
        <x:v>292842.4600000009</x:v>
      </x:c>
      <x:c r="J79" s="14" t="n">
        <x:f>IFERROR(E79/F79,0)</x:f>
        <x:v>1.0295543604767219</x:v>
      </x:c>
      <x:c r="K79" s="14" t="n">
        <x:f>IFERROR(E79/D79,0)</x:f>
        <x:v>1.0079866125447285</x:v>
      </x:c>
      <x:c r="L79" s="12" t="n">
        <x:v>106842342.89</x:v>
      </x:c>
      <x:c r="M79" s="12" t="n">
        <x:v>70943792.46</x:v>
      </x:c>
      <x:c r="N79" s="12" t="n">
        <x:f>G79-L79</x:f>
        <x:v>3157657.1099999994</x:v>
      </x:c>
    </x:row>
    <x:row r="80">
      <x:c r="A80" t="str">
        <x:v>PRJ-005</x:v>
      </x:c>
      <x:c r="B80" t="str">
        <x:v>Epsilon Utilities</x:v>
      </x:c>
      <x:c r="C80" s="10" t="n">
        <x:v>45839</x:v>
      </x:c>
      <x:c r="D80" s="12" t="n">
        <x:v>42777777.78</x:v>
      </x:c>
      <x:c r="E80" s="12" t="n">
        <x:v>41257988.52</x:v>
      </x:c>
      <x:c r="F80" s="12" t="n">
        <x:v>41801044.99</x:v>
      </x:c>
      <x:c r="G80" s="12" t="n">
        <x:v>110000000</x:v>
      </x:c>
      <x:c r="H80" s="12" t="n">
        <x:f>E80-F80</x:f>
        <x:v>-543056.4699999988</x:v>
      </x:c>
      <x:c r="I80" s="12" t="n">
        <x:f>E80-D80</x:f>
        <x:v>-1519789.259999998</x:v>
      </x:c>
      <x:c r="J80" s="14" t="n">
        <x:f>IFERROR(E80/F80,0)</x:f>
        <x:v>0.9870085432043646</x:v>
      </x:c>
      <x:c r="K80" s="14" t="n">
        <x:f>IFERROR(E80/D80,0)</x:f>
        <x:v>0.9644724588589885</x:v>
      </x:c>
      <x:c r="L80" s="12" t="n">
        <x:v>111447870.19</x:v>
      </x:c>
      <x:c r="M80" s="12" t="n">
        <x:v>69646825.19</x:v>
      </x:c>
      <x:c r="N80" s="12" t="n">
        <x:f>G80-L80</x:f>
        <x:v>-1447870.1899999976</x:v>
      </x:c>
    </x:row>
    <x:row r="81">
      <x:c r="A81" t="str">
        <x:v>PRJ-005</x:v>
      </x:c>
      <x:c r="B81" t="str">
        <x:v>Epsilon Utilities</x:v>
      </x:c>
      <x:c r="C81" s="10" t="n">
        <x:v>45870</x:v>
      </x:c>
      <x:c r="D81" s="12" t="n">
        <x:v>48888888.89</x:v>
      </x:c>
      <x:c r="E81" s="12" t="n">
        <x:v>47070648.1</x:v>
      </x:c>
      <x:c r="F81" s="12" t="n">
        <x:v>45921928.52</x:v>
      </x:c>
      <x:c r="G81" s="12" t="n">
        <x:v>110000000</x:v>
      </x:c>
      <x:c r="H81" s="12" t="n">
        <x:f>E81-F81</x:f>
        <x:v>1148719.5799999982</x:v>
      </x:c>
      <x:c r="I81" s="12" t="n">
        <x:f>E81-D81</x:f>
        <x:v>-1818240.789999999</x:v>
      </x:c>
      <x:c r="J81" s="14" t="n">
        <x:f>IFERROR(E81/F81,0)</x:f>
        <x:v>1.025014619747507</x:v>
      </x:c>
      <x:c r="K81" s="14" t="n">
        <x:f>IFERROR(E81/D81,0)</x:f>
        <x:v>0.9628087111144816</x:v>
      </x:c>
      <x:c r="L81" s="12" t="n">
        <x:v>107315542.53</x:v>
      </x:c>
      <x:c r="M81" s="12" t="n">
        <x:v>61393614</x:v>
      </x:c>
      <x:c r="N81" s="12" t="n">
        <x:f>G81-L81</x:f>
        <x:v>2684457.469999999</x:v>
      </x:c>
    </x:row>
    <x:row r="82">
      <x:c r="A82" t="str">
        <x:v>PRJ-005</x:v>
      </x:c>
      <x:c r="B82" t="str">
        <x:v>Epsilon Utilities</x:v>
      </x:c>
      <x:c r="C82" s="10" t="n">
        <x:v>45901</x:v>
      </x:c>
      <x:c r="D82" s="12" t="n">
        <x:v>55000000</x:v>
      </x:c>
      <x:c r="E82" s="12" t="n">
        <x:v>55731397.23</x:v>
      </x:c>
      <x:c r="F82" s="12" t="n">
        <x:v>56082896.73</x:v>
      </x:c>
      <x:c r="G82" s="12" t="n">
        <x:v>110000000</x:v>
      </x:c>
      <x:c r="H82" s="12" t="n">
        <x:f>E82-F82</x:f>
        <x:v>-351499.5</x:v>
      </x:c>
      <x:c r="I82" s="12" t="n">
        <x:f>E82-D82</x:f>
        <x:v>731397.2299999967</x:v>
      </x:c>
      <x:c r="J82" s="14" t="n">
        <x:f>IFERROR(E82/F82,0)</x:f>
        <x:v>0.9937325009852429</x:v>
      </x:c>
      <x:c r="K82" s="14" t="n">
        <x:f>IFERROR(E82/D82,0)</x:f>
        <x:v>1.0132981314545455</x:v>
      </x:c>
      <x:c r="L82" s="12" t="n">
        <x:v>110693773.11</x:v>
      </x:c>
      <x:c r="M82" s="12" t="n">
        <x:v>54610876.39</x:v>
      </x:c>
      <x:c r="N82" s="12" t="n">
        <x:f>G82-L82</x:f>
        <x:v>-693773.1099999994</x:v>
      </x:c>
    </x:row>
    <x:row r="83">
      <x:c r="A83" t="str">
        <x:v>PRJ-005</x:v>
      </x:c>
      <x:c r="B83" t="str">
        <x:v>Epsilon Utilities</x:v>
      </x:c>
      <x:c r="C83" s="10" t="n">
        <x:v>45931</x:v>
      </x:c>
      <x:c r="D83" s="12" t="n">
        <x:v>61111111.11</x:v>
      </x:c>
      <x:c r="E83" s="12" t="n">
        <x:v>59943834.28</x:v>
      </x:c>
      <x:c r="F83" s="12" t="n">
        <x:v>61218082.63</x:v>
      </x:c>
      <x:c r="G83" s="12" t="n">
        <x:v>110000000</x:v>
      </x:c>
      <x:c r="H83" s="12" t="n">
        <x:f>E83-F83</x:f>
        <x:v>-1274248.3500000015</x:v>
      </x:c>
      <x:c r="I83" s="12" t="n">
        <x:f>E83-D83</x:f>
        <x:v>-1167276.8299999982</x:v>
      </x:c>
      <x:c r="J83" s="14" t="n">
        <x:f>IFERROR(E83/F83,0)</x:f>
        <x:v>0.9791850986627347</x:v>
      </x:c>
      <x:c r="K83" s="14" t="n">
        <x:f>IFERROR(E83/D83,0)</x:f>
        <x:v>0.9808991064178345</x:v>
      </x:c>
      <x:c r="L83" s="12" t="n">
        <x:v>112338310.86</x:v>
      </x:c>
      <x:c r="M83" s="12" t="n">
        <x:v>51120228.23</x:v>
      </x:c>
      <x:c r="N83" s="12" t="n">
        <x:f>G83-L83</x:f>
        <x:v>-2338310.8599999994</x:v>
      </x:c>
    </x:row>
    <x:row r="84">
      <x:c r="A84" t="str">
        <x:v>PRJ-005</x:v>
      </x:c>
      <x:c r="B84" t="str">
        <x:v>Epsilon Utilities</x:v>
      </x:c>
      <x:c r="C84" s="10" t="n">
        <x:v>45962</x:v>
      </x:c>
      <x:c r="D84" s="12" t="n">
        <x:v>67222222.22</x:v>
      </x:c>
      <x:c r="E84" s="12" t="n">
        <x:v>67513759.92</x:v>
      </x:c>
      <x:c r="F84" s="12" t="n">
        <x:v>66140712.72</x:v>
      </x:c>
      <x:c r="G84" s="12" t="n">
        <x:v>110000000</x:v>
      </x:c>
      <x:c r="H84" s="12" t="n">
        <x:f>E84-F84</x:f>
        <x:v>1373047.200000003</x:v>
      </x:c>
      <x:c r="I84" s="12" t="n">
        <x:f>E84-D84</x:f>
        <x:v>291537.700000003</x:v>
      </x:c>
      <x:c r="J84" s="14" t="n">
        <x:f>IFERROR(E84/F84,0)</x:f>
        <x:v>1.020759486003918</x:v>
      </x:c>
      <x:c r="K84" s="14" t="n">
        <x:f>IFERROR(E84/D84,0)</x:f>
        <x:v>1.0043369244629534</x:v>
      </x:c>
      <x:c r="L84" s="12" t="n">
        <x:v>107762897.63</x:v>
      </x:c>
      <x:c r="M84" s="12" t="n">
        <x:v>41622184.92</x:v>
      </x:c>
      <x:c r="N84" s="12" t="n">
        <x:f>G84-L84</x:f>
        <x:v>2237102.370000005</x:v>
      </x:c>
    </x:row>
    <x:row r="85">
      <x:c r="A85" t="str">
        <x:v>PRJ-005</x:v>
      </x:c>
      <x:c r="B85" t="str">
        <x:v>Epsilon Utilities</x:v>
      </x:c>
      <x:c r="C85" s="10" t="n">
        <x:v>45992</x:v>
      </x:c>
      <x:c r="D85" s="12" t="n">
        <x:v>73333333.33</x:v>
      </x:c>
      <x:c r="E85" s="12" t="n">
        <x:v>70003801.38</x:v>
      </x:c>
      <x:c r="F85" s="12" t="n">
        <x:v>69759319.72</x:v>
      </x:c>
      <x:c r="G85" s="12" t="n">
        <x:v>110000000</x:v>
      </x:c>
      <x:c r="H85" s="12" t="n">
        <x:f>E85-F85</x:f>
        <x:v>244481.65999999642</x:v>
      </x:c>
      <x:c r="I85" s="12" t="n">
        <x:f>E85-D85</x:f>
        <x:v>-3329531.950000003</x:v>
      </x:c>
      <x:c r="J85" s="14" t="n">
        <x:f>IFERROR(E85/F85,0)</x:f>
        <x:v>1.0035046451281535</x:v>
      </x:c>
      <x:c r="K85" s="14" t="n">
        <x:f>IFERROR(E85/D85,0)</x:f>
        <x:v>0.9545972915888453</x:v>
      </x:c>
      <x:c r="L85" s="12" t="n">
        <x:v>109615835.4</x:v>
      </x:c>
      <x:c r="M85" s="12" t="n">
        <x:v>39856515.68</x:v>
      </x:c>
      <x:c r="N85" s="12" t="n">
        <x:f>G85-L85</x:f>
        <x:v>384164.59999999404</x:v>
      </x:c>
    </x:row>
    <x:row r="86">
      <x:c r="A86" t="str">
        <x:v>PRJ-005</x:v>
      </x:c>
      <x:c r="B86" t="str">
        <x:v>Epsilon Utilities</x:v>
      </x:c>
      <x:c r="C86" s="10" t="n">
        <x:v>46023</x:v>
      </x:c>
      <x:c r="D86" s="12" t="n">
        <x:v>79444444.44</x:v>
      </x:c>
      <x:c r="E86" s="12" t="n">
        <x:v>77653976.26</x:v>
      </x:c>
      <x:c r="F86" s="12" t="n">
        <x:v>77578320.98</x:v>
      </x:c>
      <x:c r="G86" s="12" t="n">
        <x:v>110000000</x:v>
      </x:c>
      <x:c r="H86" s="12" t="n">
        <x:f>E86-F86</x:f>
        <x:v>75655.28000000119</x:v>
      </x:c>
      <x:c r="I86" s="12" t="n">
        <x:f>E86-D86</x:f>
        <x:v>-1790468.1799999923</x:v>
      </x:c>
      <x:c r="J86" s="14" t="n">
        <x:f>IFERROR(E86/F86,0)</x:f>
        <x:v>1.0009752116189716</x:v>
      </x:c>
      <x:c r="K86" s="14" t="n">
        <x:f>IFERROR(E86/D86,0)</x:f>
        <x:v>0.9774626382924455</x:v>
      </x:c>
      <x:c r="L86" s="12" t="n">
        <x:v>109892831.24</x:v>
      </x:c>
      <x:c r="M86" s="12" t="n">
        <x:v>32314510.26</x:v>
      </x:c>
      <x:c r="N86" s="12" t="n">
        <x:f>G86-L86</x:f>
        <x:v>107168.76000000536</x:v>
      </x:c>
    </x:row>
    <x:row r="87">
      <x:c r="A87" t="str">
        <x:v>PRJ-005</x:v>
      </x:c>
      <x:c r="B87" t="str">
        <x:v>Epsilon Utilities</x:v>
      </x:c>
      <x:c r="C87" s="10" t="n">
        <x:v>46054</x:v>
      </x:c>
      <x:c r="D87" s="12" t="n">
        <x:v>85555555.56</x:v>
      </x:c>
      <x:c r="E87" s="12" t="n">
        <x:v>85456947.99</x:v>
      </x:c>
      <x:c r="F87" s="12" t="n">
        <x:v>86608012.92</x:v>
      </x:c>
      <x:c r="G87" s="12" t="n">
        <x:v>110000000</x:v>
      </x:c>
      <x:c r="H87" s="12" t="n">
        <x:f>E87-F87</x:f>
        <x:v>-1151064.9300000072</x:v>
      </x:c>
      <x:c r="I87" s="12" t="n">
        <x:f>E87-D87</x:f>
        <x:v>-98607.57000000775</x:v>
      </x:c>
      <x:c r="J87" s="14" t="n">
        <x:f>IFERROR(E87/F87,0)</x:f>
        <x:v>0.9867094869032125</x:v>
      </x:c>
      <x:c r="K87" s="14" t="n">
        <x:f>IFERROR(E87/D87,0)</x:f>
        <x:v>0.9988474439870728</x:v>
      </x:c>
      <x:c r="L87" s="12" t="n">
        <x:v>111481648.31</x:v>
      </x:c>
      <x:c r="M87" s="12" t="n">
        <x:v>24873635.39</x:v>
      </x:c>
      <x:c r="N87" s="12" t="n">
        <x:f>G87-L87</x:f>
        <x:v>-1481648.3100000024</x:v>
      </x:c>
    </x:row>
    <x:row r="88">
      <x:c r="A88" t="str">
        <x:v>PRJ-005</x:v>
      </x:c>
      <x:c r="B88" t="str">
        <x:v>Epsilon Utilities</x:v>
      </x:c>
      <x:c r="C88" s="10" t="n">
        <x:v>46082</x:v>
      </x:c>
      <x:c r="D88" s="12" t="n">
        <x:v>91666666.67</x:v>
      </x:c>
      <x:c r="E88" s="12" t="n">
        <x:v>93197839.11</x:v>
      </x:c>
      <x:c r="F88" s="12" t="n">
        <x:v>90702305.06</x:v>
      </x:c>
      <x:c r="G88" s="12" t="n">
        <x:v>110000000</x:v>
      </x:c>
      <x:c r="H88" s="12" t="n">
        <x:f>E88-F88</x:f>
        <x:v>2495534.049999997</x:v>
      </x:c>
      <x:c r="I88" s="12" t="n">
        <x:f>E88-D88</x:f>
        <x:v>1531172.4399999976</x:v>
      </x:c>
      <x:c r="J88" s="14" t="n">
        <x:f>IFERROR(E88/F88,0)</x:f>
        <x:v>1.0275134578812433</x:v>
      </x:c>
      <x:c r="K88" s="14" t="n">
        <x:f>IFERROR(E88/D88,0)</x:f>
        <x:v>1.016703699344847</x:v>
      </x:c>
      <x:c r="L88" s="12" t="n">
        <x:v>107054558.9</x:v>
      </x:c>
      <x:c r="M88" s="12" t="n">
        <x:v>16352253.84</x:v>
      </x:c>
      <x:c r="N88" s="12" t="n">
        <x:f>G88-L88</x:f>
        <x:v>2945441.099999994</x:v>
      </x:c>
    </x:row>
    <x:row r="89">
      <x:c r="A89" t="str">
        <x:v>PRJ-005</x:v>
      </x:c>
      <x:c r="B89" t="str">
        <x:v>Epsilon Utilities</x:v>
      </x:c>
      <x:c r="C89" s="10" t="n">
        <x:v>46113</x:v>
      </x:c>
      <x:c r="D89" s="12" t="n">
        <x:v>97777777.78</x:v>
      </x:c>
      <x:c r="E89" s="12" t="n">
        <x:v>95430683.27</x:v>
      </x:c>
      <x:c r="F89" s="12" t="n">
        <x:v>94484506.57</x:v>
      </x:c>
      <x:c r="G89" s="12" t="n">
        <x:v>110000000</x:v>
      </x:c>
      <x:c r="H89" s="12" t="n">
        <x:f>E89-F89</x:f>
        <x:v>946176.700000003</x:v>
      </x:c>
      <x:c r="I89" s="12" t="n">
        <x:f>E89-D89</x:f>
        <x:v>-2347094.5100000054</x:v>
      </x:c>
      <x:c r="J89" s="14" t="n">
        <x:f>IFERROR(E89/F89,0)</x:f>
        <x:v>1.0100140936789357</x:v>
      </x:c>
      <x:c r="K89" s="14" t="n">
        <x:f>IFERROR(E89/D89,0)</x:f>
        <x:v>0.9759956243300909</x:v>
      </x:c>
      <x:c r="L89" s="12" t="n">
        <x:v>108909371.35</x:v>
      </x:c>
      <x:c r="M89" s="12" t="n">
        <x:v>14424864.79</x:v>
      </x:c>
      <x:c r="N89" s="12" t="n">
        <x:f>G89-L89</x:f>
        <x:v>1090628.650000006</x:v>
      </x:c>
    </x:row>
    <x:row r="90">
      <x:c r="A90" t="str">
        <x:v>PRJ-005</x:v>
      </x:c>
      <x:c r="B90" t="str">
        <x:v>Epsilon Utilities</x:v>
      </x:c>
      <x:c r="C90" s="10" t="n">
        <x:v>46143</x:v>
      </x:c>
      <x:c r="D90" s="12" t="n">
        <x:v>103888888.89</x:v>
      </x:c>
      <x:c r="E90" s="12" t="n">
        <x:v>104733423.7</x:v>
      </x:c>
      <x:c r="F90" s="12" t="n">
        <x:v>103030453.53</x:v>
      </x:c>
      <x:c r="G90" s="12" t="n">
        <x:v>110000000</x:v>
      </x:c>
      <x:c r="H90" s="12" t="n">
        <x:f>E90-F90</x:f>
        <x:v>1702970.1700000018</x:v>
      </x:c>
      <x:c r="I90" s="12" t="n">
        <x:f>E90-D90</x:f>
        <x:v>844534.8100000024</x:v>
      </x:c>
      <x:c r="J90" s="14" t="n">
        <x:f>IFERROR(E90/F90,0)</x:f>
        <x:v>1.0165288039764295</x:v>
      </x:c>
      <x:c r="K90" s="14" t="n">
        <x:f>IFERROR(E90/D90,0)</x:f>
        <x:v>1.0081292120747793</x:v>
      </x:c>
      <x:c r="L90" s="12" t="n">
        <x:v>108211395.06</x:v>
      </x:c>
      <x:c r="M90" s="12" t="n">
        <x:v>5180941.53</x:v>
      </x:c>
      <x:c r="N90" s="12" t="n">
        <x:f>G90-L90</x:f>
        <x:v>1788604.9399999976</x:v>
      </x:c>
    </x:row>
    <x:row r="91">
      <x:c r="A91" t="str">
        <x:v>PRJ-005</x:v>
      </x:c>
      <x:c r="B91" t="str">
        <x:v>Epsilon Utilities</x:v>
      </x:c>
      <x:c r="C91" s="10" t="n">
        <x:v>46174</x:v>
      </x:c>
      <x:c r="D91" s="12" t="n">
        <x:v>110000000</x:v>
      </x:c>
      <x:c r="E91" s="12" t="n">
        <x:v>105723943.4</x:v>
      </x:c>
      <x:c r="F91" s="12" t="n">
        <x:v>105484685.89</x:v>
      </x:c>
      <x:c r="G91" s="12" t="n">
        <x:v>110000000</x:v>
      </x:c>
      <x:c r="H91" s="12" t="n">
        <x:f>E91-F91</x:f>
        <x:v>239257.51000000536</x:v>
      </x:c>
      <x:c r="I91" s="12" t="n">
        <x:f>E91-D91</x:f>
        <x:v>-4276056.599999994</x:v>
      </x:c>
      <x:c r="J91" s="14" t="n">
        <x:f>IFERROR(E91/F91,0)</x:f>
        <x:v>1.0022681729388616</x:v>
      </x:c>
      <x:c r="K91" s="14" t="n">
        <x:f>IFERROR(E91/D91,0)</x:f>
        <x:v>0.9611267581818183</x:v>
      </x:c>
      <x:c r="L91" s="12" t="n">
        <x:v>109751065.61</x:v>
      </x:c>
      <x:c r="M91" s="12" t="n">
        <x:v>4266379.72</x:v>
      </x:c>
      <x:c r="N91" s="12" t="n">
        <x:f>G91-L91</x:f>
        <x:v>248934.3900000006</x:v>
      </x:c>
    </x:row>
  </x:sheetData>
  <x:conditionalFormatting sqref="J2:J91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conditionalFormatting sqref="K2:K91">
    <x:cfRule type="colorScale" priority="2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17af08f4f540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</x:cols>
  <x:sheetData>
    <x:row r="1">
      <x:c r="A1" s="3" t="str">
        <x:v>Metric</x:v>
      </x:c>
      <x:c r="B1" s="3" t="str">
        <x:v>Definition</x:v>
      </x:c>
    </x:row>
    <x:row r="2">
      <x:c r="A2" t="str">
        <x:v>PV</x:v>
      </x:c>
      <x:c r="B2" t="str">
        <x:v>Planned Value</x:v>
      </x:c>
    </x:row>
    <x:row r="3">
      <x:c r="A3" t="str">
        <x:v>EV</x:v>
      </x:c>
      <x:c r="B3" t="str">
        <x:v>Earned Value</x:v>
      </x:c>
    </x:row>
    <x:row r="4">
      <x:c r="A4" t="str">
        <x:v>AC</x:v>
      </x:c>
      <x:c r="B4" t="str">
        <x:v>Actual Cost</x:v>
      </x:c>
    </x:row>
    <x:row r="5">
      <x:c r="A5" t="str">
        <x:v>BAC</x:v>
      </x:c>
      <x:c r="B5" t="str">
        <x:v>Budget at Completion</x:v>
      </x:c>
    </x:row>
    <x:row r="6">
      <x:c r="A6" t="str">
        <x:v>CV</x:v>
      </x:c>
      <x:c r="B6" t="str">
        <x:v>Cost Variance = EV - AC</x:v>
      </x:c>
    </x:row>
    <x:row r="7">
      <x:c r="A7" t="str">
        <x:v>SV</x:v>
      </x:c>
      <x:c r="B7" t="str">
        <x:v>Schedule Variance = EV - PV</x:v>
      </x:c>
    </x:row>
    <x:row r="8">
      <x:c r="A8" t="str">
        <x:v>CPI</x:v>
      </x:c>
      <x:c r="B8" t="str">
        <x:v>Cost Performance Index = EV / AC</x:v>
      </x:c>
    </x:row>
    <x:row r="9">
      <x:c r="A9" t="str">
        <x:v>SPI</x:v>
      </x:c>
      <x:c r="B9" t="str">
        <x:v>Schedule Performance Index = EV / PV</x:v>
      </x:c>
    </x:row>
    <x:row r="10">
      <x:c r="A10" t="str">
        <x:v>EAC</x:v>
      </x:c>
      <x:c r="B10" t="str">
        <x:v>Estimate at Completion</x:v>
      </x:c>
    </x:row>
    <x:row r="11">
      <x:c r="A11" t="str">
        <x:v>ETC</x:v>
      </x:c>
      <x:c r="B11" t="str">
        <x:v>Estimate to Complete</x:v>
      </x:c>
    </x:row>
    <x:row r="12">
      <x:c r="A12" t="str">
        <x:v>VAC</x:v>
      </x:c>
      <x:c r="B12" t="str">
        <x:v>Variance at Completion = BAC - EAC</x:v>
      </x:c>
    </x:row>
  </x:sheetData>
  <x:pageMargins left="0.7" right="0.7" top="0.75" bottom="0.75" header="0.3" footer="0.3"/>
  <x:tableParts count="1">
    <x:tablePart xmlns:r="http://schemas.openxmlformats.org/officeDocument/2006/relationships" r:id="R02674348d88a4ee9"/>
  </x:tableParts>
</x:worksheet>
</file>